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d398b11b955e60/Documents/"/>
    </mc:Choice>
  </mc:AlternateContent>
  <xr:revisionPtr revIDLastSave="735" documentId="8_{C5F05E4D-FFD7-4837-B030-39DF1917925F}" xr6:coauthVersionLast="47" xr6:coauthVersionMax="47" xr10:uidLastSave="{70871BAB-3782-42AC-87E9-3FF1C5F4843F}"/>
  <bookViews>
    <workbookView xWindow="-108" yWindow="-108" windowWidth="23256" windowHeight="12456" activeTab="4" xr2:uid="{797DCE03-7930-43EA-8CEC-A7294DE6DB6B}"/>
  </bookViews>
  <sheets>
    <sheet name="AND function" sheetId="1" r:id="rId1"/>
    <sheet name="Average function" sheetId="2" r:id="rId2"/>
    <sheet name="CONCAT function" sheetId="3" r:id="rId3"/>
    <sheet name="FUNCTIONS" sheetId="4" r:id="rId4"/>
    <sheet name="V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5" l="1"/>
  <c r="I6" i="5"/>
  <c r="F301" i="4"/>
  <c r="F300" i="4"/>
  <c r="F299" i="4"/>
  <c r="D292" i="4"/>
  <c r="J258" i="4"/>
  <c r="J257" i="4"/>
  <c r="D245" i="4"/>
  <c r="D246" i="4"/>
  <c r="D247" i="4"/>
  <c r="D248" i="4"/>
  <c r="D249" i="4"/>
  <c r="D250" i="4"/>
  <c r="D251" i="4"/>
  <c r="D252" i="4"/>
  <c r="D244" i="4"/>
  <c r="E237" i="4"/>
  <c r="C228" i="4" a="1"/>
  <c r="C228" i="4" s="1"/>
  <c r="C227" i="4"/>
  <c r="G193" i="4"/>
  <c r="I213" i="4"/>
  <c r="G192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63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38" i="4"/>
  <c r="D125" i="4" a="1"/>
  <c r="D125" i="4" s="1"/>
  <c r="D126" i="4" a="1"/>
  <c r="D126" i="4" s="1"/>
  <c r="D127" i="4" a="1"/>
  <c r="D127" i="4"/>
  <c r="D128" i="4" a="1"/>
  <c r="D128" i="4"/>
  <c r="D129" i="4" a="1"/>
  <c r="D129" i="4" s="1"/>
  <c r="D130" i="4" a="1"/>
  <c r="D130" i="4" s="1"/>
  <c r="D131" i="4" a="1"/>
  <c r="D131" i="4" s="1"/>
  <c r="D132" i="4" a="1"/>
  <c r="D132" i="4" s="1"/>
  <c r="D124" i="4" a="1"/>
  <c r="D124" i="4" s="1"/>
  <c r="E110" i="4"/>
  <c r="E111" i="4"/>
  <c r="E112" i="4"/>
  <c r="E113" i="4"/>
  <c r="E114" i="4"/>
  <c r="E115" i="4"/>
  <c r="E116" i="4"/>
  <c r="E117" i="4"/>
  <c r="E109" i="4"/>
  <c r="D110" i="4"/>
  <c r="D111" i="4"/>
  <c r="D112" i="4"/>
  <c r="D113" i="4"/>
  <c r="D114" i="4"/>
  <c r="D115" i="4"/>
  <c r="D116" i="4"/>
  <c r="D117" i="4"/>
  <c r="D109" i="4"/>
  <c r="H89" i="4"/>
  <c r="H90" i="4"/>
  <c r="H91" i="4"/>
  <c r="H92" i="4"/>
  <c r="H93" i="4"/>
  <c r="H94" i="4"/>
  <c r="H95" i="4"/>
  <c r="H96" i="4"/>
  <c r="H97" i="4"/>
  <c r="H98" i="4"/>
  <c r="H88" i="4"/>
  <c r="C79" i="4"/>
  <c r="D52" i="4"/>
  <c r="B52" i="4"/>
  <c r="D25" i="4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28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3" i="3"/>
  <c r="I41" i="2"/>
  <c r="I42" i="2"/>
  <c r="I43" i="2"/>
  <c r="I40" i="2"/>
  <c r="F27" i="2"/>
  <c r="F28" i="2"/>
  <c r="F26" i="2"/>
  <c r="F15" i="2"/>
  <c r="F16" i="2"/>
  <c r="F17" i="2"/>
  <c r="F18" i="2"/>
  <c r="F19" i="2"/>
  <c r="F14" i="2"/>
  <c r="F5" i="2"/>
  <c r="F6" i="2"/>
  <c r="F7" i="2"/>
  <c r="F8" i="2"/>
  <c r="F9" i="2"/>
  <c r="F4" i="2"/>
  <c r="D19" i="1"/>
  <c r="D20" i="1"/>
  <c r="D21" i="1"/>
  <c r="D22" i="1"/>
  <c r="D23" i="1"/>
  <c r="D24" i="1"/>
  <c r="D25" i="1"/>
  <c r="D26" i="1"/>
  <c r="D18" i="1"/>
  <c r="D5" i="1"/>
  <c r="D6" i="1"/>
  <c r="D7" i="1"/>
  <c r="D8" i="1"/>
  <c r="D9" i="1"/>
  <c r="D10" i="1"/>
  <c r="D11" i="1"/>
  <c r="D12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<sst xmlns="http://schemas.openxmlformats.org/spreadsheetml/2006/main" count="888" uniqueCount="229">
  <si>
    <t>Name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</si>
  <si>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</si>
  <si>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</si>
  <si>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</si>
  <si>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</si>
  <si>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</si>
  <si>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</si>
  <si>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</si>
  <si>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</si>
  <si>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</si>
  <si>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Type</t>
  </si>
  <si>
    <t>Grass</t>
  </si>
  <si>
    <t>Fire</t>
  </si>
  <si>
    <t>Water</t>
  </si>
  <si>
    <t>Speed</t>
  </si>
  <si>
    <t>Fire Type AND Speed more than 70</t>
  </si>
  <si>
    <t>Example for AND Function with IF Condition</t>
  </si>
  <si>
    <t>Example for AND Function</t>
  </si>
  <si>
    <t>Qualified IF Fire Type AND Speed more than 70</t>
  </si>
  <si>
    <t>Trainer</t>
  </si>
  <si>
    <t>Iva</t>
  </si>
  <si>
    <t>Liam</t>
  </si>
  <si>
    <t>Jenny</t>
  </si>
  <si>
    <t>Iben</t>
  </si>
  <si>
    <t>Adora</t>
  </si>
  <si>
    <t>Kasper</t>
  </si>
  <si>
    <t>Pokeball</t>
  </si>
  <si>
    <t>Great ball</t>
  </si>
  <si>
    <t>Ultra ball</t>
  </si>
  <si>
    <t>Master ball</t>
  </si>
  <si>
    <t>Average</t>
  </si>
  <si>
    <r>
      <rPr>
        <b/>
        <sz val="11"/>
        <color theme="1"/>
        <rFont val="Calibri"/>
        <family val="2"/>
        <scheme val="minor"/>
      </rPr>
      <t>Example for AVERAGE Functi</t>
    </r>
    <r>
      <rPr>
        <sz val="11"/>
        <color theme="1"/>
        <rFont val="Calibri"/>
        <family val="2"/>
        <scheme val="minor"/>
      </rPr>
      <t>on</t>
    </r>
  </si>
  <si>
    <t>Example using cells with TEXT</t>
  </si>
  <si>
    <t>Hello</t>
  </si>
  <si>
    <t>Example for AVERAGEIF function</t>
  </si>
  <si>
    <t>Average Speed</t>
  </si>
  <si>
    <t>Example for AVERAGEIFS function</t>
  </si>
  <si>
    <t>Defence</t>
  </si>
  <si>
    <t>Generation</t>
  </si>
  <si>
    <t>Chikorita</t>
  </si>
  <si>
    <t>Bayleef</t>
  </si>
  <si>
    <t>Meganium</t>
  </si>
  <si>
    <t>Cyndaquil</t>
  </si>
  <si>
    <t>Quilava</t>
  </si>
  <si>
    <t>Typhlosion</t>
  </si>
  <si>
    <t>Average Defence</t>
  </si>
  <si>
    <t>Type 1</t>
  </si>
  <si>
    <t>Total stats</t>
  </si>
  <si>
    <t>Mankey</t>
  </si>
  <si>
    <t>Fighting</t>
  </si>
  <si>
    <t>Poliwrath</t>
  </si>
  <si>
    <t>Victreebel</t>
  </si>
  <si>
    <t>Tentacool</t>
  </si>
  <si>
    <t>Magneton</t>
  </si>
  <si>
    <t>Electric</t>
  </si>
  <si>
    <t>Dewgong</t>
  </si>
  <si>
    <t>Cloyster</t>
  </si>
  <si>
    <t>Onix</t>
  </si>
  <si>
    <t>Rock</t>
  </si>
  <si>
    <t>Dragonair</t>
  </si>
  <si>
    <t>Dragon</t>
  </si>
  <si>
    <t>Pidgeotto</t>
  </si>
  <si>
    <t>Normal</t>
  </si>
  <si>
    <t>Rattata</t>
  </si>
  <si>
    <t>Beedrill</t>
  </si>
  <si>
    <t>Bug</t>
  </si>
  <si>
    <t>Doduo</t>
  </si>
  <si>
    <t>Kingler</t>
  </si>
  <si>
    <t>Nidoqueen</t>
  </si>
  <si>
    <t>Poison</t>
  </si>
  <si>
    <t>Hitmonchan</t>
  </si>
  <si>
    <t>Arbok</t>
  </si>
  <si>
    <t>Gastly</t>
  </si>
  <si>
    <t>Ghost</t>
  </si>
  <si>
    <t>Magikarp</t>
  </si>
  <si>
    <t>Combined within text cells</t>
  </si>
  <si>
    <t>Combined within text and number cells</t>
  </si>
  <si>
    <t>Combined with self defined Demilter</t>
  </si>
  <si>
    <t>Combined with more descriptive</t>
  </si>
  <si>
    <t>Combined with self defined description</t>
  </si>
  <si>
    <t>Type 2</t>
  </si>
  <si>
    <t>Steel</t>
  </si>
  <si>
    <t>Ice</t>
  </si>
  <si>
    <t>Ground</t>
  </si>
  <si>
    <t>Flying</t>
  </si>
  <si>
    <t>Example for count function</t>
  </si>
  <si>
    <t>Count=</t>
  </si>
  <si>
    <t>The COUNT function only counts cells with numbers in a range.</t>
  </si>
  <si>
    <t>Example for COUNTA function</t>
  </si>
  <si>
    <t>The COUNTA function can count all cells in a range that has values, both numbers and letters.</t>
  </si>
  <si>
    <t>Example for COUNTBLANK function</t>
  </si>
  <si>
    <t>Example for COUNTIF function</t>
  </si>
  <si>
    <t xml:space="preserve">    Name</t>
  </si>
  <si>
    <t xml:space="preserve">    Mankey</t>
  </si>
  <si>
    <t xml:space="preserve">    Poliwrath</t>
  </si>
  <si>
    <t xml:space="preserve">    Victreebel</t>
  </si>
  <si>
    <t xml:space="preserve">    Tentacool</t>
  </si>
  <si>
    <t xml:space="preserve">    Magneton</t>
  </si>
  <si>
    <t xml:space="preserve">    Dewgong</t>
  </si>
  <si>
    <t xml:space="preserve">    Cloyster</t>
  </si>
  <si>
    <t xml:space="preserve">    Onix</t>
  </si>
  <si>
    <t xml:space="preserve">    Dragonair</t>
  </si>
  <si>
    <t xml:space="preserve">    Pidgeotto</t>
  </si>
  <si>
    <t xml:space="preserve">    Rattata</t>
  </si>
  <si>
    <t xml:space="preserve">    Beedrill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</si>
  <si>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</si>
  <si>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</si>
  <si>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</si>
  <si>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</si>
  <si>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</si>
  <si>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 xml:space="preserve">    Arbok</t>
  </si>
  <si>
    <t xml:space="preserve">    Gastly</t>
  </si>
  <si>
    <t xml:space="preserve">    Magikarp</t>
  </si>
  <si>
    <t xml:space="preserve">    </t>
  </si>
  <si>
    <t>Example for IF function</t>
  </si>
  <si>
    <t xml:space="preserve">  Name</t>
  </si>
  <si>
    <t>Total</t>
  </si>
  <si>
    <t>Grass Type</t>
  </si>
  <si>
    <t xml:space="preserve">  Bulbasaur</t>
  </si>
  <si>
    <t xml:space="preserve">  Ivysaur</t>
  </si>
  <si>
    <t xml:space="preserve">  Venusaur</t>
  </si>
  <si>
    <t xml:space="preserve">  Charmander</t>
  </si>
  <si>
    <t xml:space="preserve">  Charmeleon</t>
  </si>
  <si>
    <t xml:space="preserve">  Charizard</t>
  </si>
  <si>
    <t xml:space="preserve">  Squirtle</t>
  </si>
  <si>
    <t xml:space="preserve">  Wartortle</t>
  </si>
  <si>
    <t xml:space="preserve">  Blastoise</t>
  </si>
  <si>
    <t xml:space="preserve">  </t>
  </si>
  <si>
    <t>Total value more than 400</t>
  </si>
  <si>
    <t>Example for IFS function</t>
  </si>
  <si>
    <t>Speed Category</t>
  </si>
  <si>
    <t xml:space="preserve">    Bulbasaur</t>
  </si>
  <si>
    <t xml:space="preserve">    Ivysaur</t>
  </si>
  <si>
    <t xml:space="preserve">    Venusaur</t>
  </si>
  <si>
    <t xml:space="preserve">    Charmander</t>
  </si>
  <si>
    <t xml:space="preserve">    Charizard</t>
  </si>
  <si>
    <t xml:space="preserve">    Squirtle</t>
  </si>
  <si>
    <t xml:space="preserve">    Wartortle</t>
  </si>
  <si>
    <t xml:space="preserve">    Blastoise</t>
  </si>
  <si>
    <t>LEFT function uses</t>
  </si>
  <si>
    <t>RIGHT function uses</t>
  </si>
  <si>
    <t>Example for LEFT and RIGHT function</t>
  </si>
  <si>
    <t>Example for Lower function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</si>
  <si>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</si>
  <si>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</si>
  <si>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</si>
  <si>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</si>
  <si>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</si>
  <si>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</si>
  <si>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 xml:space="preserve">    TentaCool</t>
  </si>
  <si>
    <t>WateR</t>
  </si>
  <si>
    <t xml:space="preserve">    MagNETon</t>
  </si>
  <si>
    <t>EleCTric</t>
  </si>
  <si>
    <t xml:space="preserve">    DeWgONg</t>
  </si>
  <si>
    <t>WaTEr</t>
  </si>
  <si>
    <t xml:space="preserve">    CloysTER</t>
  </si>
  <si>
    <t>WAtEr</t>
  </si>
  <si>
    <t xml:space="preserve">    OnIX</t>
  </si>
  <si>
    <t>RoCk</t>
  </si>
  <si>
    <t xml:space="preserve">    DragONAir</t>
  </si>
  <si>
    <t>DRAGON</t>
  </si>
  <si>
    <t xml:space="preserve">    PIDGEOTTO</t>
  </si>
  <si>
    <t>NorMaL</t>
  </si>
  <si>
    <t xml:space="preserve">    RaTTAta</t>
  </si>
  <si>
    <t>NOrmAl</t>
  </si>
  <si>
    <t xml:space="preserve">    BeEDrill</t>
  </si>
  <si>
    <t>BuG</t>
  </si>
  <si>
    <t xml:space="preserve">    DodUO</t>
  </si>
  <si>
    <t>NoRMAl</t>
  </si>
  <si>
    <t xml:space="preserve">    KinGLer</t>
  </si>
  <si>
    <t xml:space="preserve">    NIDoquEEn</t>
  </si>
  <si>
    <t>POIson</t>
  </si>
  <si>
    <t xml:space="preserve">    HitMONChan</t>
  </si>
  <si>
    <t>FighTING</t>
  </si>
  <si>
    <t xml:space="preserve">    CharMELEon</t>
  </si>
  <si>
    <t>FirE</t>
  </si>
  <si>
    <t xml:space="preserve">    ArBOk</t>
  </si>
  <si>
    <t>PoISOn</t>
  </si>
  <si>
    <t xml:space="preserve">    GasTLy</t>
  </si>
  <si>
    <t>gHOsT</t>
  </si>
  <si>
    <t xml:space="preserve">    maGIKarp</t>
  </si>
  <si>
    <t>wATer</t>
  </si>
  <si>
    <t>LOWER function use</t>
  </si>
  <si>
    <t>MAX</t>
  </si>
  <si>
    <t>Example for MEDIAN funtion</t>
  </si>
  <si>
    <t>VALUES</t>
  </si>
  <si>
    <t>MEDIAN</t>
  </si>
  <si>
    <t>Example for MAX and MIN function</t>
  </si>
  <si>
    <t>MIN</t>
  </si>
  <si>
    <t>Example for MODE function</t>
  </si>
  <si>
    <t xml:space="preserve">    Trainer</t>
  </si>
  <si>
    <t>Great Ball</t>
  </si>
  <si>
    <t>Ultraball</t>
  </si>
  <si>
    <t>Master Ball</t>
  </si>
  <si>
    <t xml:space="preserve">    Iva</t>
  </si>
  <si>
    <t xml:space="preserve">    Liam</t>
  </si>
  <si>
    <t xml:space="preserve">    Jenny</t>
  </si>
  <si>
    <t xml:space="preserve">    Iben</t>
  </si>
  <si>
    <t xml:space="preserve">    Adora</t>
  </si>
  <si>
    <t xml:space="preserve">    Kasper</t>
  </si>
  <si>
    <t xml:space="preserve">    MODE Single</t>
  </si>
  <si>
    <t xml:space="preserve"> MODE Multi</t>
  </si>
  <si>
    <t>Example for NPV function</t>
  </si>
  <si>
    <t xml:space="preserve">    Year</t>
  </si>
  <si>
    <t>Cash flow</t>
  </si>
  <si>
    <t>Discount Rate</t>
  </si>
  <si>
    <t>NPV</t>
  </si>
  <si>
    <t>Example for OR function</t>
  </si>
  <si>
    <t>Defense</t>
  </si>
  <si>
    <t>Water Type OR more than 60 Defense</t>
  </si>
  <si>
    <t>Example for STDEV.P and STDEV.S function</t>
  </si>
  <si>
    <t>#</t>
  </si>
  <si>
    <t>Caterpie</t>
  </si>
  <si>
    <t>Metapod</t>
  </si>
  <si>
    <t>Butterfree</t>
  </si>
  <si>
    <t>Weedle</t>
  </si>
  <si>
    <t>Kakuna</t>
  </si>
  <si>
    <t>Pidgey</t>
  </si>
  <si>
    <t>Pidgeot</t>
  </si>
  <si>
    <t>Raticate</t>
  </si>
  <si>
    <t>STDEV.P</t>
  </si>
  <si>
    <t>STDEV.S</t>
  </si>
  <si>
    <t>Example for SUM function</t>
  </si>
  <si>
    <t>SUM</t>
  </si>
  <si>
    <t>Example for SUMIF function</t>
  </si>
  <si>
    <t>Total Sum</t>
  </si>
  <si>
    <t>VLOOKUP</t>
  </si>
  <si>
    <t>#ID</t>
  </si>
  <si>
    <t>Search #ID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</si>
</sst>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1" xfId="0" applyNumberFormat="1" applyBorder="1"/>
    <xf numFmtId="8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E174-4CB0-4E55-A043-160CB41D5A1C}">
  <dimension ref="A1:E26"/>
  <sheetViews>
    <sheetView topLeftCell="A10" zoomScale="123" workbookViewId="0">
      <selection activeCell="E13" sqref="E13"/>
    </sheetView>
  </sheetViews>
  <sheetFormatPr defaultRowHeight="14.4" x14ac:dyDescent="0.3"/>
  <cols>
    <col min="1" max="1" width="11.88671875" customWidth="1"/>
    <col min="4" max="4" width="42.77734375" customWidth="1"/>
  </cols>
  <sheetData>
    <row r="1" spans="1:5" x14ac:dyDescent="0.3">
      <c r="A1" s="8" t="s">
        <v>17</v>
      </c>
      <c r="B1" s="9"/>
      <c r="C1" s="9"/>
      <c r="D1" s="9"/>
    </row>
    <row r="3" spans="1:5" x14ac:dyDescent="0.3">
      <c r="A3" s="1" t="s">
        <v>0</v>
      </c>
      <c r="B3" s="1" t="s">
        <v>10</v>
      </c>
      <c r="C3" s="1" t="s">
        <v>14</v>
      </c>
      <c r="D3" s="1" t="s">
        <v>15</v>
      </c>
    </row>
    <row r="4" spans="1:5" x14ac:dyDescent="0.3">
      <c r="A4" s="2" t="s">
        <v>1</v>
      </c>
      <c r="B4" s="2" t="s">
        <v>11</v>
      </c>
      <c r="C4" s="2">
        <v>45</v>
      </c>
      <c r="D4" s="2" t="b">
        <f>AND(B4="Fire",C4&gt;70)</f>
        <v>0</v>
      </c>
    </row>
    <row r="5" spans="1:5" x14ac:dyDescent="0.3">
      <c r="A5" s="2" t="s">
        <v>2</v>
      </c>
      <c r="B5" s="2" t="s">
        <v>11</v>
      </c>
      <c r="C5" s="2">
        <v>60</v>
      </c>
      <c r="D5" s="2" t="b">
        <f t="shared" ref="D5:D12" si="0">AND(B5="Fire",C5&gt;70)</f>
        <v>0</v>
      </c>
    </row>
    <row r="6" spans="1:5" x14ac:dyDescent="0.3">
      <c r="A6" s="2" t="s">
        <v>3</v>
      </c>
      <c r="B6" s="2" t="s">
        <v>11</v>
      </c>
      <c r="C6" s="2">
        <v>80</v>
      </c>
      <c r="D6" s="2" t="b">
        <f t="shared" si="0"/>
        <v>0</v>
      </c>
    </row>
    <row r="7" spans="1:5" x14ac:dyDescent="0.3">
      <c r="A7" s="2" t="s">
        <v>4</v>
      </c>
      <c r="B7" s="2" t="s">
        <v>12</v>
      </c>
      <c r="C7" s="2">
        <v>65</v>
      </c>
      <c r="D7" s="2" t="b">
        <f t="shared" si="0"/>
        <v>0</v>
      </c>
    </row>
    <row r="8" spans="1:5" x14ac:dyDescent="0.3">
      <c r="A8" s="2" t="s">
        <v>5</v>
      </c>
      <c r="B8" s="2" t="s">
        <v>12</v>
      </c>
      <c r="C8" s="2">
        <v>80</v>
      </c>
      <c r="D8" s="2" t="b">
        <f t="shared" si="0"/>
        <v>1</v>
      </c>
    </row>
    <row r="9" spans="1:5" x14ac:dyDescent="0.3">
      <c r="A9" s="2" t="s">
        <v>6</v>
      </c>
      <c r="B9" s="2" t="s">
        <v>12</v>
      </c>
      <c r="C9" s="2">
        <v>100</v>
      </c>
      <c r="D9" s="2" t="b">
        <f t="shared" si="0"/>
        <v>1</v>
      </c>
    </row>
    <row r="10" spans="1:5" x14ac:dyDescent="0.3">
      <c r="A10" s="2" t="s">
        <v>7</v>
      </c>
      <c r="B10" s="2" t="s">
        <v>13</v>
      </c>
      <c r="C10" s="2">
        <v>43</v>
      </c>
      <c r="D10" s="2" t="b">
        <f t="shared" si="0"/>
        <v>0</v>
      </c>
    </row>
    <row r="11" spans="1:5" x14ac:dyDescent="0.3">
      <c r="A11" s="2" t="s">
        <v>8</v>
      </c>
      <c r="B11" s="2" t="s">
        <v>13</v>
      </c>
      <c r="C11" s="2">
        <v>58</v>
      </c>
      <c r="D11" s="2" t="b">
        <f t="shared" si="0"/>
        <v>0</v>
      </c>
    </row>
    <row r="12" spans="1:5" x14ac:dyDescent="0.3">
      <c r="A12" s="2" t="s">
        <v>9</v>
      </c>
      <c r="B12" s="2" t="s">
        <v>13</v>
      </c>
      <c r="C12" s="2">
        <v>78</v>
      </c>
      <c r="D12" s="2" t="b">
        <f t="shared" si="0"/>
        <v>0</v>
      </c>
    </row>
    <row r="15" spans="1:5" x14ac:dyDescent="0.3">
      <c r="A15" s="8" t="s">
        <v>16</v>
      </c>
      <c r="B15" s="9"/>
      <c r="C15" s="9"/>
      <c r="D15" s="9"/>
      <c r="E15" s="9"/>
    </row>
    <row r="17" spans="1:4" x14ac:dyDescent="0.3">
      <c r="A17" s="1" t="s">
        <v>0</v>
      </c>
      <c r="B17" s="1" t="s">
        <v>10</v>
      </c>
      <c r="C17" s="1" t="s">
        <v>14</v>
      </c>
      <c r="D17" s="1" t="s">
        <v>18</v>
      </c>
    </row>
    <row r="18" spans="1:4" x14ac:dyDescent="0.3">
      <c r="A18" s="2" t="s">
        <v>1</v>
      </c>
      <c r="B18" s="2" t="s">
        <v>11</v>
      </c>
      <c r="C18" s="2">
        <v>45</v>
      </c>
      <c r="D18" s="2" t="str">
        <f>IF(AND(B18="Fire",C18&gt;70),"Qualified","Not Qualified")</f>
        <v>Not Qualified</v>
      </c>
    </row>
    <row r="19" spans="1:4" x14ac:dyDescent="0.3">
      <c r="A19" s="2" t="s">
        <v>2</v>
      </c>
      <c r="B19" s="2" t="s">
        <v>11</v>
      </c>
      <c r="C19" s="2">
        <v>60</v>
      </c>
      <c r="D19" s="2" t="str">
        <f t="shared" ref="D19:D26" si="1">IF(AND(B19="Fire",C19&gt;70),"Qualified","Not Qualified")</f>
        <v>Not Qualified</v>
      </c>
    </row>
    <row r="20" spans="1:4" x14ac:dyDescent="0.3">
      <c r="A20" s="2" t="s">
        <v>3</v>
      </c>
      <c r="B20" s="2" t="s">
        <v>11</v>
      </c>
      <c r="C20" s="2">
        <v>80</v>
      </c>
      <c r="D20" s="2" t="str">
        <f t="shared" si="1"/>
        <v>Not Qualified</v>
      </c>
    </row>
    <row r="21" spans="1:4" x14ac:dyDescent="0.3">
      <c r="A21" s="2" t="s">
        <v>4</v>
      </c>
      <c r="B21" s="2" t="s">
        <v>12</v>
      </c>
      <c r="C21" s="2">
        <v>65</v>
      </c>
      <c r="D21" s="2" t="str">
        <f t="shared" si="1"/>
        <v>Not Qualified</v>
      </c>
    </row>
    <row r="22" spans="1:4" x14ac:dyDescent="0.3">
      <c r="A22" s="2" t="s">
        <v>5</v>
      </c>
      <c r="B22" s="2" t="s">
        <v>12</v>
      </c>
      <c r="C22" s="2">
        <v>80</v>
      </c>
      <c r="D22" s="2" t="str">
        <f t="shared" si="1"/>
        <v>Qualified</v>
      </c>
    </row>
    <row r="23" spans="1:4" x14ac:dyDescent="0.3">
      <c r="A23" s="2" t="s">
        <v>6</v>
      </c>
      <c r="B23" s="2" t="s">
        <v>12</v>
      </c>
      <c r="C23" s="2">
        <v>100</v>
      </c>
      <c r="D23" s="2" t="str">
        <f t="shared" si="1"/>
        <v>Qualified</v>
      </c>
    </row>
    <row r="24" spans="1:4" x14ac:dyDescent="0.3">
      <c r="A24" s="2" t="s">
        <v>7</v>
      </c>
      <c r="B24" s="2" t="s">
        <v>13</v>
      </c>
      <c r="C24" s="2">
        <v>43</v>
      </c>
      <c r="D24" s="2" t="str">
        <f t="shared" si="1"/>
        <v>Not Qualified</v>
      </c>
    </row>
    <row r="25" spans="1:4" x14ac:dyDescent="0.3">
      <c r="A25" s="2" t="s">
        <v>8</v>
      </c>
      <c r="B25" s="2" t="s">
        <v>13</v>
      </c>
      <c r="C25" s="2">
        <v>58</v>
      </c>
      <c r="D25" s="2" t="str">
        <f t="shared" si="1"/>
        <v>Not Qualified</v>
      </c>
    </row>
    <row r="26" spans="1:4" x14ac:dyDescent="0.3">
      <c r="A26" s="2" t="s">
        <v>9</v>
      </c>
      <c r="B26" s="2" t="s">
        <v>13</v>
      </c>
      <c r="C26" s="2">
        <v>78</v>
      </c>
      <c r="D26" s="2" t="str">
        <f t="shared" si="1"/>
        <v>Not Qualified</v>
      </c>
    </row>
  </sheetData>
  <mergeCells count="2">
    <mergeCell ref="A1:D1"/>
    <mergeCell ref="A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8A4C-4FB9-4A4E-BC97-83E010DDBE0D}">
  <dimension ref="A1:K50"/>
  <sheetViews>
    <sheetView topLeftCell="A104" zoomScale="132" workbookViewId="0">
      <selection activeCell="F26" sqref="F26:H26"/>
    </sheetView>
  </sheetViews>
  <sheetFormatPr defaultRowHeight="14.4" x14ac:dyDescent="0.3"/>
  <cols>
    <col min="1" max="1" width="11.6640625" customWidth="1"/>
    <col min="4" max="4" width="10" customWidth="1"/>
    <col min="5" max="5" width="10.109375" customWidth="1"/>
    <col min="7" max="7" width="11.44140625" customWidth="1"/>
  </cols>
  <sheetData>
    <row r="1" spans="1:8" x14ac:dyDescent="0.3">
      <c r="A1" s="9" t="s">
        <v>31</v>
      </c>
      <c r="B1" s="9"/>
      <c r="C1" s="9"/>
      <c r="D1" s="9"/>
      <c r="E1" s="9"/>
      <c r="F1" s="9"/>
      <c r="G1" s="9"/>
    </row>
    <row r="3" spans="1:8" x14ac:dyDescent="0.3">
      <c r="A3" s="1" t="s">
        <v>19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</row>
    <row r="4" spans="1:8" x14ac:dyDescent="0.3">
      <c r="A4" s="2" t="s">
        <v>20</v>
      </c>
      <c r="B4" s="2">
        <v>10</v>
      </c>
      <c r="C4" s="2">
        <v>4</v>
      </c>
      <c r="D4" s="2">
        <v>1</v>
      </c>
      <c r="E4" s="2">
        <v>1</v>
      </c>
      <c r="F4" s="2">
        <f>AVERAGE(B4:E4)</f>
        <v>4</v>
      </c>
    </row>
    <row r="5" spans="1:8" x14ac:dyDescent="0.3">
      <c r="A5" s="2" t="s">
        <v>21</v>
      </c>
      <c r="B5" s="2">
        <v>12</v>
      </c>
      <c r="C5" s="2">
        <v>3</v>
      </c>
      <c r="D5" s="2">
        <v>0</v>
      </c>
      <c r="E5" s="2">
        <v>1</v>
      </c>
      <c r="F5" s="2">
        <f t="shared" ref="F5:F9" si="0">AVERAGE(B5:E5)</f>
        <v>4</v>
      </c>
    </row>
    <row r="6" spans="1:8" x14ac:dyDescent="0.3">
      <c r="A6" s="2" t="s">
        <v>22</v>
      </c>
      <c r="B6" s="2">
        <v>15</v>
      </c>
      <c r="C6" s="2">
        <v>1</v>
      </c>
      <c r="D6" s="2">
        <v>3</v>
      </c>
      <c r="E6" s="2">
        <v>1</v>
      </c>
      <c r="F6" s="2">
        <f t="shared" si="0"/>
        <v>5</v>
      </c>
    </row>
    <row r="7" spans="1:8" x14ac:dyDescent="0.3">
      <c r="A7" s="2" t="s">
        <v>23</v>
      </c>
      <c r="B7" s="2">
        <v>4</v>
      </c>
      <c r="C7" s="2">
        <v>2</v>
      </c>
      <c r="D7" s="2">
        <v>6</v>
      </c>
      <c r="E7" s="2">
        <v>0</v>
      </c>
      <c r="F7" s="2">
        <f t="shared" si="0"/>
        <v>3</v>
      </c>
    </row>
    <row r="8" spans="1:8" x14ac:dyDescent="0.3">
      <c r="A8" s="2" t="s">
        <v>24</v>
      </c>
      <c r="B8" s="2">
        <v>10</v>
      </c>
      <c r="C8" s="2">
        <v>4</v>
      </c>
      <c r="D8" s="2">
        <v>1</v>
      </c>
      <c r="E8" s="2">
        <v>1</v>
      </c>
      <c r="F8" s="2">
        <f t="shared" si="0"/>
        <v>4</v>
      </c>
    </row>
    <row r="9" spans="1:8" x14ac:dyDescent="0.3">
      <c r="A9" s="2" t="s">
        <v>25</v>
      </c>
      <c r="B9" s="2">
        <v>9</v>
      </c>
      <c r="C9" s="2">
        <v>2</v>
      </c>
      <c r="D9" s="2">
        <v>1</v>
      </c>
      <c r="E9" s="2">
        <v>0</v>
      </c>
      <c r="F9" s="2">
        <f t="shared" si="0"/>
        <v>3</v>
      </c>
    </row>
    <row r="11" spans="1:8" x14ac:dyDescent="0.3">
      <c r="A11" s="8" t="s">
        <v>32</v>
      </c>
      <c r="B11" s="9"/>
      <c r="C11" s="9"/>
      <c r="D11" s="9"/>
      <c r="E11" s="9"/>
      <c r="F11" s="9"/>
      <c r="G11" s="9"/>
      <c r="H11" s="9"/>
    </row>
    <row r="13" spans="1:8" x14ac:dyDescent="0.3">
      <c r="A13" s="1" t="s">
        <v>19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</row>
    <row r="14" spans="1:8" x14ac:dyDescent="0.3">
      <c r="A14" s="2" t="s">
        <v>20</v>
      </c>
      <c r="B14" s="2">
        <v>10</v>
      </c>
      <c r="C14" s="2">
        <v>4</v>
      </c>
      <c r="D14" s="2" t="s">
        <v>33</v>
      </c>
      <c r="E14" s="2">
        <v>1</v>
      </c>
      <c r="F14" s="2">
        <f>AVERAGE(B14:E14)</f>
        <v>5</v>
      </c>
    </row>
    <row r="15" spans="1:8" x14ac:dyDescent="0.3">
      <c r="A15" s="2" t="s">
        <v>21</v>
      </c>
      <c r="B15" s="2">
        <v>12</v>
      </c>
      <c r="C15" s="2">
        <v>3</v>
      </c>
      <c r="D15" s="2">
        <v>0</v>
      </c>
      <c r="E15" s="2" t="s">
        <v>33</v>
      </c>
      <c r="F15" s="2">
        <f t="shared" ref="F15:F19" si="1">AVERAGE(B15:E15)</f>
        <v>5</v>
      </c>
    </row>
    <row r="16" spans="1:8" x14ac:dyDescent="0.3">
      <c r="A16" s="2" t="s">
        <v>22</v>
      </c>
      <c r="B16" s="2">
        <v>15</v>
      </c>
      <c r="C16" s="2">
        <v>1</v>
      </c>
      <c r="D16" s="2">
        <v>3</v>
      </c>
      <c r="E16" s="2">
        <v>1</v>
      </c>
      <c r="F16" s="2">
        <f t="shared" si="1"/>
        <v>5</v>
      </c>
    </row>
    <row r="17" spans="1:9" x14ac:dyDescent="0.3">
      <c r="A17" s="2" t="s">
        <v>23</v>
      </c>
      <c r="B17" s="2">
        <v>4</v>
      </c>
      <c r="C17" s="2">
        <v>2</v>
      </c>
      <c r="D17" s="2" t="s">
        <v>33</v>
      </c>
      <c r="E17" s="2">
        <v>0</v>
      </c>
      <c r="F17" s="2">
        <f t="shared" si="1"/>
        <v>2</v>
      </c>
    </row>
    <row r="18" spans="1:9" x14ac:dyDescent="0.3">
      <c r="A18" s="2" t="s">
        <v>24</v>
      </c>
      <c r="B18" s="2" t="s">
        <v>33</v>
      </c>
      <c r="C18" s="2">
        <v>4</v>
      </c>
      <c r="D18" s="2">
        <v>1</v>
      </c>
      <c r="E18" s="2">
        <v>1</v>
      </c>
      <c r="F18" s="2">
        <f t="shared" si="1"/>
        <v>2</v>
      </c>
    </row>
    <row r="19" spans="1:9" x14ac:dyDescent="0.3">
      <c r="A19" s="2" t="s">
        <v>25</v>
      </c>
      <c r="B19" s="2">
        <v>9</v>
      </c>
      <c r="C19" s="2">
        <v>2</v>
      </c>
      <c r="D19" s="2">
        <v>1</v>
      </c>
      <c r="E19" s="2">
        <v>0</v>
      </c>
      <c r="F19" s="2">
        <f t="shared" si="1"/>
        <v>3</v>
      </c>
    </row>
    <row r="22" spans="1:9" x14ac:dyDescent="0.3">
      <c r="A22" s="8" t="s">
        <v>34</v>
      </c>
      <c r="B22" s="9"/>
      <c r="C22" s="9"/>
      <c r="D22" s="9"/>
      <c r="E22" s="9"/>
      <c r="F22" s="9"/>
      <c r="G22" s="9"/>
      <c r="H22" s="9"/>
      <c r="I22" s="9"/>
    </row>
    <row r="24" spans="1:9" x14ac:dyDescent="0.3">
      <c r="A24" s="1" t="s">
        <v>0</v>
      </c>
      <c r="B24" s="1" t="s">
        <v>10</v>
      </c>
      <c r="C24" s="1" t="s">
        <v>14</v>
      </c>
    </row>
    <row r="25" spans="1:9" x14ac:dyDescent="0.3">
      <c r="A25" s="2" t="s">
        <v>1</v>
      </c>
      <c r="B25" s="2" t="s">
        <v>11</v>
      </c>
      <c r="C25" s="2">
        <v>45</v>
      </c>
      <c r="E25" s="1" t="s">
        <v>10</v>
      </c>
      <c r="F25" s="10" t="s">
        <v>35</v>
      </c>
      <c r="G25" s="10"/>
      <c r="H25" s="10"/>
    </row>
    <row r="26" spans="1:9" x14ac:dyDescent="0.3">
      <c r="A26" s="2" t="s">
        <v>2</v>
      </c>
      <c r="B26" s="2" t="s">
        <v>11</v>
      </c>
      <c r="C26" s="2">
        <v>60</v>
      </c>
      <c r="E26" s="1" t="s">
        <v>11</v>
      </c>
      <c r="F26" s="11">
        <f>AVERAGEIF(B25:B33,E26,C25:C33)</f>
        <v>61.666666666666664</v>
      </c>
      <c r="G26" s="11"/>
      <c r="H26" s="11"/>
    </row>
    <row r="27" spans="1:9" x14ac:dyDescent="0.3">
      <c r="A27" s="2" t="s">
        <v>3</v>
      </c>
      <c r="B27" s="2" t="s">
        <v>11</v>
      </c>
      <c r="C27" s="2">
        <v>80</v>
      </c>
      <c r="E27" s="1" t="s">
        <v>12</v>
      </c>
      <c r="F27" s="11">
        <f t="shared" ref="F27:F28" si="2">AVERAGEIF(B26:B34,E27,C26:C34)</f>
        <v>81.666666666666671</v>
      </c>
      <c r="G27" s="11"/>
      <c r="H27" s="11"/>
    </row>
    <row r="28" spans="1:9" x14ac:dyDescent="0.3">
      <c r="A28" s="2" t="s">
        <v>4</v>
      </c>
      <c r="B28" s="2" t="s">
        <v>12</v>
      </c>
      <c r="C28" s="2">
        <v>65</v>
      </c>
      <c r="E28" s="1" t="s">
        <v>13</v>
      </c>
      <c r="F28" s="11">
        <f t="shared" si="2"/>
        <v>59.666666666666664</v>
      </c>
      <c r="G28" s="11"/>
      <c r="H28" s="11"/>
    </row>
    <row r="29" spans="1:9" x14ac:dyDescent="0.3">
      <c r="A29" s="2" t="s">
        <v>5</v>
      </c>
      <c r="B29" s="2" t="s">
        <v>12</v>
      </c>
      <c r="C29" s="2">
        <v>80</v>
      </c>
    </row>
    <row r="30" spans="1:9" x14ac:dyDescent="0.3">
      <c r="A30" s="2" t="s">
        <v>6</v>
      </c>
      <c r="B30" s="2" t="s">
        <v>12</v>
      </c>
      <c r="C30" s="2">
        <v>100</v>
      </c>
    </row>
    <row r="31" spans="1:9" x14ac:dyDescent="0.3">
      <c r="A31" s="2" t="s">
        <v>7</v>
      </c>
      <c r="B31" s="2" t="s">
        <v>13</v>
      </c>
      <c r="C31" s="2">
        <v>43</v>
      </c>
    </row>
    <row r="32" spans="1:9" x14ac:dyDescent="0.3">
      <c r="A32" s="2" t="s">
        <v>8</v>
      </c>
      <c r="B32" s="2" t="s">
        <v>13</v>
      </c>
      <c r="C32" s="2">
        <v>58</v>
      </c>
    </row>
    <row r="33" spans="1:11" x14ac:dyDescent="0.3">
      <c r="A33" s="2" t="s">
        <v>9</v>
      </c>
      <c r="B33" s="2" t="s">
        <v>13</v>
      </c>
      <c r="C33" s="2">
        <v>78</v>
      </c>
    </row>
    <row r="36" spans="1:11" x14ac:dyDescent="0.3">
      <c r="A36" s="8" t="s">
        <v>36</v>
      </c>
      <c r="B36" s="9"/>
      <c r="C36" s="9"/>
      <c r="D36" s="9"/>
      <c r="E36" s="9"/>
      <c r="F36" s="9"/>
      <c r="G36" s="9"/>
      <c r="H36" s="9"/>
      <c r="I36" s="9"/>
      <c r="J36" s="9"/>
    </row>
    <row r="38" spans="1:11" x14ac:dyDescent="0.3">
      <c r="A38" s="1" t="s">
        <v>0</v>
      </c>
      <c r="B38" s="1" t="s">
        <v>10</v>
      </c>
      <c r="C38" s="1" t="s">
        <v>37</v>
      </c>
      <c r="D38" s="1" t="s">
        <v>38</v>
      </c>
    </row>
    <row r="39" spans="1:11" x14ac:dyDescent="0.3">
      <c r="A39" s="2" t="s">
        <v>1</v>
      </c>
      <c r="B39" s="2" t="s">
        <v>11</v>
      </c>
      <c r="C39" s="2">
        <v>49</v>
      </c>
      <c r="D39" s="2">
        <v>1</v>
      </c>
      <c r="G39" s="1" t="s">
        <v>38</v>
      </c>
      <c r="H39" s="1" t="s">
        <v>10</v>
      </c>
      <c r="I39" s="10" t="s">
        <v>45</v>
      </c>
      <c r="J39" s="10"/>
      <c r="K39" s="10"/>
    </row>
    <row r="40" spans="1:11" x14ac:dyDescent="0.3">
      <c r="A40" s="2" t="s">
        <v>2</v>
      </c>
      <c r="B40" s="2" t="s">
        <v>11</v>
      </c>
      <c r="C40" s="2">
        <v>63</v>
      </c>
      <c r="D40" s="2">
        <v>1</v>
      </c>
      <c r="G40" s="1">
        <v>1</v>
      </c>
      <c r="H40" s="1" t="s">
        <v>11</v>
      </c>
      <c r="I40" s="12">
        <f>AVERAGEIFS(C39:C50,B39:B50,H40,D39:D50,G40)</f>
        <v>65</v>
      </c>
      <c r="J40" s="12"/>
      <c r="K40" s="12"/>
    </row>
    <row r="41" spans="1:11" x14ac:dyDescent="0.3">
      <c r="A41" s="2" t="s">
        <v>3</v>
      </c>
      <c r="B41" s="2" t="s">
        <v>11</v>
      </c>
      <c r="C41" s="2">
        <v>83</v>
      </c>
      <c r="D41" s="2">
        <v>1</v>
      </c>
      <c r="G41" s="1">
        <v>1</v>
      </c>
      <c r="H41" s="1" t="s">
        <v>12</v>
      </c>
      <c r="I41" s="12">
        <f t="shared" ref="I41:I43" si="3">AVERAGEIFS(C40:C51,B40:B51,H41,D40:D51,G41)</f>
        <v>59.666666666666664</v>
      </c>
      <c r="J41" s="12"/>
      <c r="K41" s="12"/>
    </row>
    <row r="42" spans="1:11" x14ac:dyDescent="0.3">
      <c r="A42" s="2" t="s">
        <v>4</v>
      </c>
      <c r="B42" s="2" t="s">
        <v>12</v>
      </c>
      <c r="C42" s="2">
        <v>43</v>
      </c>
      <c r="D42" s="2">
        <v>1</v>
      </c>
      <c r="G42" s="1">
        <v>2</v>
      </c>
      <c r="H42" s="1" t="s">
        <v>11</v>
      </c>
      <c r="I42" s="12">
        <f t="shared" si="3"/>
        <v>81.666666666666671</v>
      </c>
      <c r="J42" s="12"/>
      <c r="K42" s="12"/>
    </row>
    <row r="43" spans="1:11" x14ac:dyDescent="0.3">
      <c r="A43" s="2" t="s">
        <v>5</v>
      </c>
      <c r="B43" s="2" t="s">
        <v>12</v>
      </c>
      <c r="C43" s="2">
        <v>58</v>
      </c>
      <c r="D43" s="2">
        <v>1</v>
      </c>
      <c r="G43" s="1">
        <v>2</v>
      </c>
      <c r="H43" s="1" t="s">
        <v>12</v>
      </c>
      <c r="I43" s="12">
        <f t="shared" si="3"/>
        <v>59.666666666666664</v>
      </c>
      <c r="J43" s="12"/>
      <c r="K43" s="12"/>
    </row>
    <row r="44" spans="1:11" x14ac:dyDescent="0.3">
      <c r="A44" s="3" t="s">
        <v>6</v>
      </c>
      <c r="B44" s="3" t="s">
        <v>12</v>
      </c>
      <c r="C44" s="2">
        <v>78</v>
      </c>
      <c r="D44" s="2">
        <v>1</v>
      </c>
    </row>
    <row r="45" spans="1:11" x14ac:dyDescent="0.3">
      <c r="A45" s="2" t="s">
        <v>39</v>
      </c>
      <c r="B45" s="2" t="s">
        <v>11</v>
      </c>
      <c r="C45" s="2">
        <v>65</v>
      </c>
      <c r="D45" s="2">
        <v>2</v>
      </c>
    </row>
    <row r="46" spans="1:11" x14ac:dyDescent="0.3">
      <c r="A46" s="2" t="s">
        <v>40</v>
      </c>
      <c r="B46" s="2" t="s">
        <v>11</v>
      </c>
      <c r="C46" s="2">
        <v>80</v>
      </c>
      <c r="D46" s="2">
        <v>2</v>
      </c>
    </row>
    <row r="47" spans="1:11" x14ac:dyDescent="0.3">
      <c r="A47" s="2" t="s">
        <v>41</v>
      </c>
      <c r="B47" s="2" t="s">
        <v>11</v>
      </c>
      <c r="C47" s="2">
        <v>100</v>
      </c>
      <c r="D47" s="2">
        <v>2</v>
      </c>
    </row>
    <row r="48" spans="1:11" x14ac:dyDescent="0.3">
      <c r="A48" s="2" t="s">
        <v>42</v>
      </c>
      <c r="B48" s="2" t="s">
        <v>12</v>
      </c>
      <c r="C48" s="2">
        <v>43</v>
      </c>
      <c r="D48" s="2">
        <v>2</v>
      </c>
    </row>
    <row r="49" spans="1:4" x14ac:dyDescent="0.3">
      <c r="A49" s="2" t="s">
        <v>43</v>
      </c>
      <c r="B49" s="2" t="s">
        <v>12</v>
      </c>
      <c r="C49" s="2">
        <v>58</v>
      </c>
      <c r="D49" s="2">
        <v>2</v>
      </c>
    </row>
    <row r="50" spans="1:4" x14ac:dyDescent="0.3">
      <c r="A50" s="2" t="s">
        <v>44</v>
      </c>
      <c r="B50" s="2" t="s">
        <v>12</v>
      </c>
      <c r="C50" s="2">
        <v>78</v>
      </c>
      <c r="D50" s="2">
        <v>2</v>
      </c>
    </row>
  </sheetData>
  <mergeCells count="13">
    <mergeCell ref="I41:K41"/>
    <mergeCell ref="I42:K42"/>
    <mergeCell ref="I43:K43"/>
    <mergeCell ref="F27:H27"/>
    <mergeCell ref="F28:H28"/>
    <mergeCell ref="A36:J36"/>
    <mergeCell ref="I39:K39"/>
    <mergeCell ref="I40:K40"/>
    <mergeCell ref="A1:G1"/>
    <mergeCell ref="A11:H11"/>
    <mergeCell ref="A22:I22"/>
    <mergeCell ref="F25:H25"/>
    <mergeCell ref="F26:H26"/>
  </mergeCells>
  <pageMargins left="0.7" right="0.7" top="0.75" bottom="0.75" header="0.3" footer="0.3"/>
  <ignoredErrors>
    <ignoredError sqref="F27:F28 I41:I4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48C3-736A-4DAD-AC6C-B4EA32C5FB5D}">
  <dimension ref="A2:Q47"/>
  <sheetViews>
    <sheetView topLeftCell="A20" zoomScale="113" workbookViewId="0">
      <selection activeCell="D28" sqref="D28:K28"/>
    </sheetView>
  </sheetViews>
  <sheetFormatPr defaultRowHeight="14.4" x14ac:dyDescent="0.3"/>
  <cols>
    <col min="1" max="1" width="11.21875" customWidth="1"/>
    <col min="3" max="3" width="9.33203125" customWidth="1"/>
  </cols>
  <sheetData>
    <row r="2" spans="1:17" x14ac:dyDescent="0.3">
      <c r="A2" s="1" t="s">
        <v>0</v>
      </c>
      <c r="B2" s="1" t="s">
        <v>46</v>
      </c>
      <c r="C2" s="1" t="s">
        <v>47</v>
      </c>
      <c r="D2" s="13" t="s">
        <v>75</v>
      </c>
      <c r="E2" s="13"/>
      <c r="F2" s="13"/>
      <c r="G2" s="13"/>
      <c r="H2" s="13" t="s">
        <v>76</v>
      </c>
      <c r="I2" s="13"/>
      <c r="J2" s="13"/>
      <c r="K2" s="13"/>
      <c r="L2" s="13"/>
      <c r="M2" s="13" t="s">
        <v>77</v>
      </c>
      <c r="N2" s="13"/>
      <c r="O2" s="13"/>
      <c r="P2" s="13"/>
      <c r="Q2" s="13"/>
    </row>
    <row r="3" spans="1:17" x14ac:dyDescent="0.3">
      <c r="A3" s="2" t="s">
        <v>48</v>
      </c>
      <c r="B3" s="2" t="s">
        <v>49</v>
      </c>
      <c r="C3" s="2">
        <v>305</v>
      </c>
      <c r="D3" s="11" t="str">
        <f>_xlfn.CONCAT(A3, " ",B3)</f>
        <v>Mankey Fighting</v>
      </c>
      <c r="E3" s="11"/>
      <c r="F3" s="11"/>
      <c r="G3" s="11"/>
      <c r="H3" s="11" t="str">
        <f>_xlfn.CONCAT(D3, " ",C3)</f>
        <v>Mankey Fighting 305</v>
      </c>
      <c r="I3" s="11"/>
      <c r="J3" s="11"/>
      <c r="K3" s="11"/>
      <c r="L3" s="11"/>
      <c r="M3" s="11" t="str">
        <f>_xlfn.CONCAT(D3, " have ", C3)</f>
        <v>Mankey Fighting have 305</v>
      </c>
      <c r="N3" s="11"/>
      <c r="O3" s="11"/>
      <c r="P3" s="11"/>
      <c r="Q3" s="11"/>
    </row>
    <row r="4" spans="1:17" x14ac:dyDescent="0.3">
      <c r="A4" s="2" t="s">
        <v>50</v>
      </c>
      <c r="B4" s="2" t="s">
        <v>13</v>
      </c>
      <c r="C4" s="2">
        <v>510</v>
      </c>
      <c r="D4" s="11" t="str">
        <f t="shared" ref="D4:D22" si="0">_xlfn.CONCAT(A4, " ",B4)</f>
        <v>Poliwrath Water</v>
      </c>
      <c r="E4" s="11"/>
      <c r="F4" s="11"/>
      <c r="G4" s="11"/>
      <c r="H4" s="11" t="str">
        <f t="shared" ref="H4:H22" si="1">_xlfn.CONCAT(D4, " ",C4)</f>
        <v>Poliwrath Water 510</v>
      </c>
      <c r="I4" s="11"/>
      <c r="J4" s="11"/>
      <c r="K4" s="11"/>
      <c r="L4" s="11"/>
      <c r="M4" s="11" t="str">
        <f t="shared" ref="M4:M22" si="2">_xlfn.CONCAT(D4, " have ", C4)</f>
        <v>Poliwrath Water have 510</v>
      </c>
      <c r="N4" s="11"/>
      <c r="O4" s="11"/>
      <c r="P4" s="11"/>
      <c r="Q4" s="11"/>
    </row>
    <row r="5" spans="1:17" x14ac:dyDescent="0.3">
      <c r="A5" s="2" t="s">
        <v>51</v>
      </c>
      <c r="B5" s="2" t="s">
        <v>11</v>
      </c>
      <c r="C5" s="2">
        <v>490</v>
      </c>
      <c r="D5" s="11" t="str">
        <f t="shared" si="0"/>
        <v>Victreebel Grass</v>
      </c>
      <c r="E5" s="11"/>
      <c r="F5" s="11"/>
      <c r="G5" s="11"/>
      <c r="H5" s="11" t="str">
        <f t="shared" si="1"/>
        <v>Victreebel Grass 490</v>
      </c>
      <c r="I5" s="11"/>
      <c r="J5" s="11"/>
      <c r="K5" s="11"/>
      <c r="L5" s="11"/>
      <c r="M5" s="11" t="str">
        <f t="shared" si="2"/>
        <v>Victreebel Grass have 490</v>
      </c>
      <c r="N5" s="11"/>
      <c r="O5" s="11"/>
      <c r="P5" s="11"/>
      <c r="Q5" s="11"/>
    </row>
    <row r="6" spans="1:17" x14ac:dyDescent="0.3">
      <c r="A6" s="2" t="s">
        <v>52</v>
      </c>
      <c r="B6" s="2" t="s">
        <v>13</v>
      </c>
      <c r="C6" s="2">
        <v>335</v>
      </c>
      <c r="D6" s="11" t="str">
        <f t="shared" si="0"/>
        <v>Tentacool Water</v>
      </c>
      <c r="E6" s="11"/>
      <c r="F6" s="11"/>
      <c r="G6" s="11"/>
      <c r="H6" s="11" t="str">
        <f t="shared" si="1"/>
        <v>Tentacool Water 335</v>
      </c>
      <c r="I6" s="11"/>
      <c r="J6" s="11"/>
      <c r="K6" s="11"/>
      <c r="L6" s="11"/>
      <c r="M6" s="11" t="str">
        <f t="shared" si="2"/>
        <v>Tentacool Water have 335</v>
      </c>
      <c r="N6" s="11"/>
      <c r="O6" s="11"/>
      <c r="P6" s="11"/>
      <c r="Q6" s="11"/>
    </row>
    <row r="7" spans="1:17" x14ac:dyDescent="0.3">
      <c r="A7" s="2" t="s">
        <v>53</v>
      </c>
      <c r="B7" s="2" t="s">
        <v>54</v>
      </c>
      <c r="C7" s="2">
        <v>465</v>
      </c>
      <c r="D7" s="11" t="str">
        <f t="shared" si="0"/>
        <v>Magneton Electric</v>
      </c>
      <c r="E7" s="11"/>
      <c r="F7" s="11"/>
      <c r="G7" s="11"/>
      <c r="H7" s="11" t="str">
        <f t="shared" si="1"/>
        <v>Magneton Electric 465</v>
      </c>
      <c r="I7" s="11"/>
      <c r="J7" s="11"/>
      <c r="K7" s="11"/>
      <c r="L7" s="11"/>
      <c r="M7" s="11" t="str">
        <f t="shared" si="2"/>
        <v>Magneton Electric have 465</v>
      </c>
      <c r="N7" s="11"/>
      <c r="O7" s="11"/>
      <c r="P7" s="11"/>
      <c r="Q7" s="11"/>
    </row>
    <row r="8" spans="1:17" x14ac:dyDescent="0.3">
      <c r="A8" s="2" t="s">
        <v>55</v>
      </c>
      <c r="B8" s="2" t="s">
        <v>13</v>
      </c>
      <c r="C8" s="2">
        <v>475</v>
      </c>
      <c r="D8" s="11" t="str">
        <f t="shared" si="0"/>
        <v>Dewgong Water</v>
      </c>
      <c r="E8" s="11"/>
      <c r="F8" s="11"/>
      <c r="G8" s="11"/>
      <c r="H8" s="11" t="str">
        <f t="shared" si="1"/>
        <v>Dewgong Water 475</v>
      </c>
      <c r="I8" s="11"/>
      <c r="J8" s="11"/>
      <c r="K8" s="11"/>
      <c r="L8" s="11"/>
      <c r="M8" s="11" t="str">
        <f t="shared" si="2"/>
        <v>Dewgong Water have 475</v>
      </c>
      <c r="N8" s="11"/>
      <c r="O8" s="11"/>
      <c r="P8" s="11"/>
      <c r="Q8" s="11"/>
    </row>
    <row r="9" spans="1:17" x14ac:dyDescent="0.3">
      <c r="A9" s="2" t="s">
        <v>56</v>
      </c>
      <c r="B9" s="2" t="s">
        <v>13</v>
      </c>
      <c r="C9" s="2">
        <v>525</v>
      </c>
      <c r="D9" s="11" t="str">
        <f t="shared" si="0"/>
        <v>Cloyster Water</v>
      </c>
      <c r="E9" s="11"/>
      <c r="F9" s="11"/>
      <c r="G9" s="11"/>
      <c r="H9" s="11" t="str">
        <f t="shared" si="1"/>
        <v>Cloyster Water 525</v>
      </c>
      <c r="I9" s="11"/>
      <c r="J9" s="11"/>
      <c r="K9" s="11"/>
      <c r="L9" s="11"/>
      <c r="M9" s="11" t="str">
        <f t="shared" si="2"/>
        <v>Cloyster Water have 525</v>
      </c>
      <c r="N9" s="11"/>
      <c r="O9" s="11"/>
      <c r="P9" s="11"/>
      <c r="Q9" s="11"/>
    </row>
    <row r="10" spans="1:17" x14ac:dyDescent="0.3">
      <c r="A10" s="2" t="s">
        <v>57</v>
      </c>
      <c r="B10" s="2" t="s">
        <v>58</v>
      </c>
      <c r="C10" s="2">
        <v>385</v>
      </c>
      <c r="D10" s="11" t="str">
        <f t="shared" si="0"/>
        <v>Onix Rock</v>
      </c>
      <c r="E10" s="11"/>
      <c r="F10" s="11"/>
      <c r="G10" s="11"/>
      <c r="H10" s="11" t="str">
        <f t="shared" si="1"/>
        <v>Onix Rock 385</v>
      </c>
      <c r="I10" s="11"/>
      <c r="J10" s="11"/>
      <c r="K10" s="11"/>
      <c r="L10" s="11"/>
      <c r="M10" s="11" t="str">
        <f t="shared" si="2"/>
        <v>Onix Rock have 385</v>
      </c>
      <c r="N10" s="11"/>
      <c r="O10" s="11"/>
      <c r="P10" s="11"/>
      <c r="Q10" s="11"/>
    </row>
    <row r="11" spans="1:17" x14ac:dyDescent="0.3">
      <c r="A11" s="2" t="s">
        <v>59</v>
      </c>
      <c r="B11" s="2" t="s">
        <v>60</v>
      </c>
      <c r="C11" s="2">
        <v>420</v>
      </c>
      <c r="D11" s="11" t="str">
        <f t="shared" si="0"/>
        <v>Dragonair Dragon</v>
      </c>
      <c r="E11" s="11"/>
      <c r="F11" s="11"/>
      <c r="G11" s="11"/>
      <c r="H11" s="11" t="str">
        <f t="shared" si="1"/>
        <v>Dragonair Dragon 420</v>
      </c>
      <c r="I11" s="11"/>
      <c r="J11" s="11"/>
      <c r="K11" s="11"/>
      <c r="L11" s="11"/>
      <c r="M11" s="11" t="str">
        <f t="shared" si="2"/>
        <v>Dragonair Dragon have 420</v>
      </c>
      <c r="N11" s="11"/>
      <c r="O11" s="11"/>
      <c r="P11" s="11"/>
      <c r="Q11" s="11"/>
    </row>
    <row r="12" spans="1:17" x14ac:dyDescent="0.3">
      <c r="A12" s="2" t="s">
        <v>61</v>
      </c>
      <c r="B12" s="2" t="s">
        <v>62</v>
      </c>
      <c r="C12" s="2">
        <v>349</v>
      </c>
      <c r="D12" s="11" t="str">
        <f t="shared" si="0"/>
        <v>Pidgeotto Normal</v>
      </c>
      <c r="E12" s="11"/>
      <c r="F12" s="11"/>
      <c r="G12" s="11"/>
      <c r="H12" s="11" t="str">
        <f t="shared" si="1"/>
        <v>Pidgeotto Normal 349</v>
      </c>
      <c r="I12" s="11"/>
      <c r="J12" s="11"/>
      <c r="K12" s="11"/>
      <c r="L12" s="11"/>
      <c r="M12" s="11" t="str">
        <f t="shared" si="2"/>
        <v>Pidgeotto Normal have 349</v>
      </c>
      <c r="N12" s="11"/>
      <c r="O12" s="11"/>
      <c r="P12" s="11"/>
      <c r="Q12" s="11"/>
    </row>
    <row r="13" spans="1:17" x14ac:dyDescent="0.3">
      <c r="A13" s="2" t="s">
        <v>63</v>
      </c>
      <c r="B13" s="2" t="s">
        <v>62</v>
      </c>
      <c r="C13" s="2">
        <v>253</v>
      </c>
      <c r="D13" s="11" t="str">
        <f t="shared" si="0"/>
        <v>Rattata Normal</v>
      </c>
      <c r="E13" s="11"/>
      <c r="F13" s="11"/>
      <c r="G13" s="11"/>
      <c r="H13" s="11" t="str">
        <f t="shared" si="1"/>
        <v>Rattata Normal 253</v>
      </c>
      <c r="I13" s="11"/>
      <c r="J13" s="11"/>
      <c r="K13" s="11"/>
      <c r="L13" s="11"/>
      <c r="M13" s="11" t="str">
        <f t="shared" si="2"/>
        <v>Rattata Normal have 253</v>
      </c>
      <c r="N13" s="11"/>
      <c r="O13" s="11"/>
      <c r="P13" s="11"/>
      <c r="Q13" s="11"/>
    </row>
    <row r="14" spans="1:17" x14ac:dyDescent="0.3">
      <c r="A14" s="2" t="s">
        <v>64</v>
      </c>
      <c r="B14" s="2" t="s">
        <v>65</v>
      </c>
      <c r="C14" s="2">
        <v>395</v>
      </c>
      <c r="D14" s="11" t="str">
        <f t="shared" si="0"/>
        <v>Beedrill Bug</v>
      </c>
      <c r="E14" s="11"/>
      <c r="F14" s="11"/>
      <c r="G14" s="11"/>
      <c r="H14" s="11" t="str">
        <f t="shared" si="1"/>
        <v>Beedrill Bug 395</v>
      </c>
      <c r="I14" s="11"/>
      <c r="J14" s="11"/>
      <c r="K14" s="11"/>
      <c r="L14" s="11"/>
      <c r="M14" s="11" t="str">
        <f t="shared" si="2"/>
        <v>Beedrill Bug have 395</v>
      </c>
      <c r="N14" s="11"/>
      <c r="O14" s="11"/>
      <c r="P14" s="11"/>
      <c r="Q14" s="11"/>
    </row>
    <row r="15" spans="1:17" x14ac:dyDescent="0.3">
      <c r="A15" s="2" t="s">
        <v>66</v>
      </c>
      <c r="B15" s="2" t="s">
        <v>62</v>
      </c>
      <c r="C15" s="2">
        <v>310</v>
      </c>
      <c r="D15" s="11" t="str">
        <f t="shared" si="0"/>
        <v>Doduo Normal</v>
      </c>
      <c r="E15" s="11"/>
      <c r="F15" s="11"/>
      <c r="G15" s="11"/>
      <c r="H15" s="11" t="str">
        <f t="shared" si="1"/>
        <v>Doduo Normal 310</v>
      </c>
      <c r="I15" s="11"/>
      <c r="J15" s="11"/>
      <c r="K15" s="11"/>
      <c r="L15" s="11"/>
      <c r="M15" s="11" t="str">
        <f t="shared" si="2"/>
        <v>Doduo Normal have 310</v>
      </c>
      <c r="N15" s="11"/>
      <c r="O15" s="11"/>
      <c r="P15" s="11"/>
      <c r="Q15" s="11"/>
    </row>
    <row r="16" spans="1:17" x14ac:dyDescent="0.3">
      <c r="A16" s="2" t="s">
        <v>67</v>
      </c>
      <c r="B16" s="2" t="s">
        <v>13</v>
      </c>
      <c r="C16" s="2">
        <v>475</v>
      </c>
      <c r="D16" s="11" t="str">
        <f t="shared" si="0"/>
        <v>Kingler Water</v>
      </c>
      <c r="E16" s="11"/>
      <c r="F16" s="11"/>
      <c r="G16" s="11"/>
      <c r="H16" s="11" t="str">
        <f t="shared" si="1"/>
        <v>Kingler Water 475</v>
      </c>
      <c r="I16" s="11"/>
      <c r="J16" s="11"/>
      <c r="K16" s="11"/>
      <c r="L16" s="11"/>
      <c r="M16" s="11" t="str">
        <f t="shared" si="2"/>
        <v>Kingler Water have 475</v>
      </c>
      <c r="N16" s="11"/>
      <c r="O16" s="11"/>
      <c r="P16" s="11"/>
      <c r="Q16" s="11"/>
    </row>
    <row r="17" spans="1:17" x14ac:dyDescent="0.3">
      <c r="A17" s="2" t="s">
        <v>68</v>
      </c>
      <c r="B17" s="2" t="s">
        <v>69</v>
      </c>
      <c r="C17" s="2">
        <v>505</v>
      </c>
      <c r="D17" s="11" t="str">
        <f t="shared" si="0"/>
        <v>Nidoqueen Poison</v>
      </c>
      <c r="E17" s="11"/>
      <c r="F17" s="11"/>
      <c r="G17" s="11"/>
      <c r="H17" s="11" t="str">
        <f t="shared" si="1"/>
        <v>Nidoqueen Poison 505</v>
      </c>
      <c r="I17" s="11"/>
      <c r="J17" s="11"/>
      <c r="K17" s="11"/>
      <c r="L17" s="11"/>
      <c r="M17" s="11" t="str">
        <f t="shared" si="2"/>
        <v>Nidoqueen Poison have 505</v>
      </c>
      <c r="N17" s="11"/>
      <c r="O17" s="11"/>
      <c r="P17" s="11"/>
      <c r="Q17" s="11"/>
    </row>
    <row r="18" spans="1:17" x14ac:dyDescent="0.3">
      <c r="A18" s="2" t="s">
        <v>70</v>
      </c>
      <c r="B18" s="2" t="s">
        <v>49</v>
      </c>
      <c r="C18" s="2">
        <v>455</v>
      </c>
      <c r="D18" s="11" t="str">
        <f t="shared" si="0"/>
        <v>Hitmonchan Fighting</v>
      </c>
      <c r="E18" s="11"/>
      <c r="F18" s="11"/>
      <c r="G18" s="11"/>
      <c r="H18" s="11" t="str">
        <f t="shared" si="1"/>
        <v>Hitmonchan Fighting 455</v>
      </c>
      <c r="I18" s="11"/>
      <c r="J18" s="11"/>
      <c r="K18" s="11"/>
      <c r="L18" s="11"/>
      <c r="M18" s="11" t="str">
        <f t="shared" si="2"/>
        <v>Hitmonchan Fighting have 455</v>
      </c>
      <c r="N18" s="11"/>
      <c r="O18" s="11"/>
      <c r="P18" s="11"/>
      <c r="Q18" s="11"/>
    </row>
    <row r="19" spans="1:17" x14ac:dyDescent="0.3">
      <c r="A19" s="2" t="s">
        <v>5</v>
      </c>
      <c r="B19" s="2" t="s">
        <v>12</v>
      </c>
      <c r="C19" s="2">
        <v>405</v>
      </c>
      <c r="D19" s="11" t="str">
        <f t="shared" si="0"/>
        <v>Charmeleon Fire</v>
      </c>
      <c r="E19" s="11"/>
      <c r="F19" s="11"/>
      <c r="G19" s="11"/>
      <c r="H19" s="11" t="str">
        <f t="shared" si="1"/>
        <v>Charmeleon Fire 405</v>
      </c>
      <c r="I19" s="11"/>
      <c r="J19" s="11"/>
      <c r="K19" s="11"/>
      <c r="L19" s="11"/>
      <c r="M19" s="11" t="str">
        <f t="shared" si="2"/>
        <v>Charmeleon Fire have 405</v>
      </c>
      <c r="N19" s="11"/>
      <c r="O19" s="11"/>
      <c r="P19" s="11"/>
      <c r="Q19" s="11"/>
    </row>
    <row r="20" spans="1:17" x14ac:dyDescent="0.3">
      <c r="A20" s="2" t="s">
        <v>71</v>
      </c>
      <c r="B20" s="2" t="s">
        <v>69</v>
      </c>
      <c r="C20" s="2">
        <v>438</v>
      </c>
      <c r="D20" s="11" t="str">
        <f t="shared" si="0"/>
        <v>Arbok Poison</v>
      </c>
      <c r="E20" s="11"/>
      <c r="F20" s="11"/>
      <c r="G20" s="11"/>
      <c r="H20" s="11" t="str">
        <f t="shared" si="1"/>
        <v>Arbok Poison 438</v>
      </c>
      <c r="I20" s="11"/>
      <c r="J20" s="11"/>
      <c r="K20" s="11"/>
      <c r="L20" s="11"/>
      <c r="M20" s="11" t="str">
        <f t="shared" si="2"/>
        <v>Arbok Poison have 438</v>
      </c>
      <c r="N20" s="11"/>
      <c r="O20" s="11"/>
      <c r="P20" s="11"/>
      <c r="Q20" s="11"/>
    </row>
    <row r="21" spans="1:17" x14ac:dyDescent="0.3">
      <c r="A21" s="2" t="s">
        <v>72</v>
      </c>
      <c r="B21" s="2" t="s">
        <v>73</v>
      </c>
      <c r="C21" s="2">
        <v>310</v>
      </c>
      <c r="D21" s="11" t="str">
        <f t="shared" si="0"/>
        <v>Gastly Ghost</v>
      </c>
      <c r="E21" s="11"/>
      <c r="F21" s="11"/>
      <c r="G21" s="11"/>
      <c r="H21" s="11" t="str">
        <f t="shared" si="1"/>
        <v>Gastly Ghost 310</v>
      </c>
      <c r="I21" s="11"/>
      <c r="J21" s="11"/>
      <c r="K21" s="11"/>
      <c r="L21" s="11"/>
      <c r="M21" s="11" t="str">
        <f t="shared" si="2"/>
        <v>Gastly Ghost have 310</v>
      </c>
      <c r="N21" s="11"/>
      <c r="O21" s="11"/>
      <c r="P21" s="11"/>
      <c r="Q21" s="11"/>
    </row>
    <row r="22" spans="1:17" x14ac:dyDescent="0.3">
      <c r="A22" s="2" t="s">
        <v>74</v>
      </c>
      <c r="B22" s="2" t="s">
        <v>13</v>
      </c>
      <c r="C22" s="2">
        <v>200</v>
      </c>
      <c r="D22" s="11" t="str">
        <f t="shared" si="0"/>
        <v>Magikarp Water</v>
      </c>
      <c r="E22" s="11"/>
      <c r="F22" s="11"/>
      <c r="G22" s="11"/>
      <c r="H22" s="11" t="str">
        <f t="shared" si="1"/>
        <v>Magikarp Water 200</v>
      </c>
      <c r="I22" s="11"/>
      <c r="J22" s="11"/>
      <c r="K22" s="11"/>
      <c r="L22" s="11"/>
      <c r="M22" s="11" t="str">
        <f t="shared" si="2"/>
        <v>Magikarp Water have 200</v>
      </c>
      <c r="N22" s="11"/>
      <c r="O22" s="11"/>
      <c r="P22" s="11"/>
      <c r="Q22" s="11"/>
    </row>
    <row r="25" spans="1:17" x14ac:dyDescent="0.3">
      <c r="A25" s="8" t="s">
        <v>78</v>
      </c>
      <c r="B25" s="9"/>
      <c r="C25" s="9"/>
      <c r="D25" s="9"/>
      <c r="E25" s="9"/>
      <c r="F25" s="9"/>
      <c r="G25" s="9"/>
      <c r="H25" s="9"/>
      <c r="I25" s="9"/>
    </row>
    <row r="27" spans="1:17" x14ac:dyDescent="0.3">
      <c r="A27" s="1" t="s">
        <v>0</v>
      </c>
      <c r="B27" s="1" t="s">
        <v>46</v>
      </c>
      <c r="C27" s="1" t="s">
        <v>47</v>
      </c>
      <c r="D27" s="13" t="s">
        <v>79</v>
      </c>
      <c r="E27" s="13"/>
      <c r="F27" s="13"/>
      <c r="G27" s="13"/>
      <c r="H27" s="13"/>
      <c r="I27" s="13"/>
      <c r="J27" s="13"/>
      <c r="K27" s="13"/>
    </row>
    <row r="28" spans="1:17" x14ac:dyDescent="0.3">
      <c r="A28" s="2" t="s">
        <v>48</v>
      </c>
      <c r="B28" s="2" t="s">
        <v>49</v>
      </c>
      <c r="C28" s="2">
        <v>305</v>
      </c>
      <c r="D28" s="11" t="str">
        <f>_xlfn.CONCAT("The Total stats of ",A28, " are ", C28)</f>
        <v>The Total stats of Mankey are 305</v>
      </c>
      <c r="E28" s="11"/>
      <c r="F28" s="11"/>
      <c r="G28" s="11"/>
      <c r="H28" s="11"/>
      <c r="I28" s="11"/>
      <c r="J28" s="11"/>
      <c r="K28" s="11"/>
    </row>
    <row r="29" spans="1:17" x14ac:dyDescent="0.3">
      <c r="A29" s="2" t="s">
        <v>50</v>
      </c>
      <c r="B29" s="2" t="s">
        <v>13</v>
      </c>
      <c r="C29" s="2">
        <v>510</v>
      </c>
      <c r="D29" s="11" t="str">
        <f t="shared" ref="D29:D47" si="3">_xlfn.CONCAT("The Total stats of ",A29, " are ", C29)</f>
        <v>The Total stats of Poliwrath are 510</v>
      </c>
      <c r="E29" s="11"/>
      <c r="F29" s="11"/>
      <c r="G29" s="11"/>
      <c r="H29" s="11"/>
      <c r="I29" s="11"/>
      <c r="J29" s="11"/>
      <c r="K29" s="11"/>
    </row>
    <row r="30" spans="1:17" x14ac:dyDescent="0.3">
      <c r="A30" s="2" t="s">
        <v>51</v>
      </c>
      <c r="B30" s="2" t="s">
        <v>11</v>
      </c>
      <c r="C30" s="2">
        <v>490</v>
      </c>
      <c r="D30" s="11" t="str">
        <f t="shared" si="3"/>
        <v>The Total stats of Victreebel are 490</v>
      </c>
      <c r="E30" s="11"/>
      <c r="F30" s="11"/>
      <c r="G30" s="11"/>
      <c r="H30" s="11"/>
      <c r="I30" s="11"/>
      <c r="J30" s="11"/>
      <c r="K30" s="11"/>
    </row>
    <row r="31" spans="1:17" x14ac:dyDescent="0.3">
      <c r="A31" s="2" t="s">
        <v>52</v>
      </c>
      <c r="B31" s="2" t="s">
        <v>13</v>
      </c>
      <c r="C31" s="2">
        <v>335</v>
      </c>
      <c r="D31" s="11" t="str">
        <f t="shared" si="3"/>
        <v>The Total stats of Tentacool are 335</v>
      </c>
      <c r="E31" s="11"/>
      <c r="F31" s="11"/>
      <c r="G31" s="11"/>
      <c r="H31" s="11"/>
      <c r="I31" s="11"/>
      <c r="J31" s="11"/>
      <c r="K31" s="11"/>
    </row>
    <row r="32" spans="1:17" x14ac:dyDescent="0.3">
      <c r="A32" s="2" t="s">
        <v>53</v>
      </c>
      <c r="B32" s="2" t="s">
        <v>54</v>
      </c>
      <c r="C32" s="2">
        <v>465</v>
      </c>
      <c r="D32" s="11" t="str">
        <f t="shared" si="3"/>
        <v>The Total stats of Magneton are 465</v>
      </c>
      <c r="E32" s="11"/>
      <c r="F32" s="11"/>
      <c r="G32" s="11"/>
      <c r="H32" s="11"/>
      <c r="I32" s="11"/>
      <c r="J32" s="11"/>
      <c r="K32" s="11"/>
    </row>
    <row r="33" spans="1:11" x14ac:dyDescent="0.3">
      <c r="A33" s="2" t="s">
        <v>55</v>
      </c>
      <c r="B33" s="2" t="s">
        <v>13</v>
      </c>
      <c r="C33" s="2">
        <v>475</v>
      </c>
      <c r="D33" s="11" t="str">
        <f t="shared" si="3"/>
        <v>The Total stats of Dewgong are 475</v>
      </c>
      <c r="E33" s="11"/>
      <c r="F33" s="11"/>
      <c r="G33" s="11"/>
      <c r="H33" s="11"/>
      <c r="I33" s="11"/>
      <c r="J33" s="11"/>
      <c r="K33" s="11"/>
    </row>
    <row r="34" spans="1:11" x14ac:dyDescent="0.3">
      <c r="A34" s="2" t="s">
        <v>56</v>
      </c>
      <c r="B34" s="2" t="s">
        <v>13</v>
      </c>
      <c r="C34" s="2">
        <v>525</v>
      </c>
      <c r="D34" s="11" t="str">
        <f t="shared" si="3"/>
        <v>The Total stats of Cloyster are 525</v>
      </c>
      <c r="E34" s="11"/>
      <c r="F34" s="11"/>
      <c r="G34" s="11"/>
      <c r="H34" s="11"/>
      <c r="I34" s="11"/>
      <c r="J34" s="11"/>
      <c r="K34" s="11"/>
    </row>
    <row r="35" spans="1:11" x14ac:dyDescent="0.3">
      <c r="A35" s="2" t="s">
        <v>57</v>
      </c>
      <c r="B35" s="2" t="s">
        <v>58</v>
      </c>
      <c r="C35" s="2">
        <v>385</v>
      </c>
      <c r="D35" s="11" t="str">
        <f t="shared" si="3"/>
        <v>The Total stats of Onix are 385</v>
      </c>
      <c r="E35" s="11"/>
      <c r="F35" s="11"/>
      <c r="G35" s="11"/>
      <c r="H35" s="11"/>
      <c r="I35" s="11"/>
      <c r="J35" s="11"/>
      <c r="K35" s="11"/>
    </row>
    <row r="36" spans="1:11" x14ac:dyDescent="0.3">
      <c r="A36" s="2" t="s">
        <v>59</v>
      </c>
      <c r="B36" s="2" t="s">
        <v>60</v>
      </c>
      <c r="C36" s="2">
        <v>420</v>
      </c>
      <c r="D36" s="11" t="str">
        <f t="shared" si="3"/>
        <v>The Total stats of Dragonair are 420</v>
      </c>
      <c r="E36" s="11"/>
      <c r="F36" s="11"/>
      <c r="G36" s="11"/>
      <c r="H36" s="11"/>
      <c r="I36" s="11"/>
      <c r="J36" s="11"/>
      <c r="K36" s="11"/>
    </row>
    <row r="37" spans="1:11" x14ac:dyDescent="0.3">
      <c r="A37" s="2" t="s">
        <v>61</v>
      </c>
      <c r="B37" s="2" t="s">
        <v>62</v>
      </c>
      <c r="C37" s="2">
        <v>349</v>
      </c>
      <c r="D37" s="11" t="str">
        <f t="shared" si="3"/>
        <v>The Total stats of Pidgeotto are 349</v>
      </c>
      <c r="E37" s="11"/>
      <c r="F37" s="11"/>
      <c r="G37" s="11"/>
      <c r="H37" s="11"/>
      <c r="I37" s="11"/>
      <c r="J37" s="11"/>
      <c r="K37" s="11"/>
    </row>
    <row r="38" spans="1:11" x14ac:dyDescent="0.3">
      <c r="A38" s="2" t="s">
        <v>63</v>
      </c>
      <c r="B38" s="2" t="s">
        <v>62</v>
      </c>
      <c r="C38" s="2">
        <v>253</v>
      </c>
      <c r="D38" s="11" t="str">
        <f t="shared" si="3"/>
        <v>The Total stats of Rattata are 253</v>
      </c>
      <c r="E38" s="11"/>
      <c r="F38" s="11"/>
      <c r="G38" s="11"/>
      <c r="H38" s="11"/>
      <c r="I38" s="11"/>
      <c r="J38" s="11"/>
      <c r="K38" s="11"/>
    </row>
    <row r="39" spans="1:11" x14ac:dyDescent="0.3">
      <c r="A39" s="2" t="s">
        <v>64</v>
      </c>
      <c r="B39" s="2" t="s">
        <v>65</v>
      </c>
      <c r="C39" s="2">
        <v>395</v>
      </c>
      <c r="D39" s="11" t="str">
        <f t="shared" si="3"/>
        <v>The Total stats of Beedrill are 395</v>
      </c>
      <c r="E39" s="11"/>
      <c r="F39" s="11"/>
      <c r="G39" s="11"/>
      <c r="H39" s="11"/>
      <c r="I39" s="11"/>
      <c r="J39" s="11"/>
      <c r="K39" s="11"/>
    </row>
    <row r="40" spans="1:11" x14ac:dyDescent="0.3">
      <c r="A40" s="2" t="s">
        <v>66</v>
      </c>
      <c r="B40" s="2" t="s">
        <v>62</v>
      </c>
      <c r="C40" s="2">
        <v>310</v>
      </c>
      <c r="D40" s="11" t="str">
        <f t="shared" si="3"/>
        <v>The Total stats of Doduo are 310</v>
      </c>
      <c r="E40" s="11"/>
      <c r="F40" s="11"/>
      <c r="G40" s="11"/>
      <c r="H40" s="11"/>
      <c r="I40" s="11"/>
      <c r="J40" s="11"/>
      <c r="K40" s="11"/>
    </row>
    <row r="41" spans="1:11" x14ac:dyDescent="0.3">
      <c r="A41" s="2" t="s">
        <v>67</v>
      </c>
      <c r="B41" s="2" t="s">
        <v>13</v>
      </c>
      <c r="C41" s="2">
        <v>475</v>
      </c>
      <c r="D41" s="11" t="str">
        <f t="shared" si="3"/>
        <v>The Total stats of Kingler are 475</v>
      </c>
      <c r="E41" s="11"/>
      <c r="F41" s="11"/>
      <c r="G41" s="11"/>
      <c r="H41" s="11"/>
      <c r="I41" s="11"/>
      <c r="J41" s="11"/>
      <c r="K41" s="11"/>
    </row>
    <row r="42" spans="1:11" x14ac:dyDescent="0.3">
      <c r="A42" s="2" t="s">
        <v>68</v>
      </c>
      <c r="B42" s="2" t="s">
        <v>69</v>
      </c>
      <c r="C42" s="2">
        <v>505</v>
      </c>
      <c r="D42" s="11" t="str">
        <f t="shared" si="3"/>
        <v>The Total stats of Nidoqueen are 505</v>
      </c>
      <c r="E42" s="11"/>
      <c r="F42" s="11"/>
      <c r="G42" s="11"/>
      <c r="H42" s="11"/>
      <c r="I42" s="11"/>
      <c r="J42" s="11"/>
      <c r="K42" s="11"/>
    </row>
    <row r="43" spans="1:11" x14ac:dyDescent="0.3">
      <c r="A43" s="2" t="s">
        <v>70</v>
      </c>
      <c r="B43" s="2" t="s">
        <v>49</v>
      </c>
      <c r="C43" s="2">
        <v>455</v>
      </c>
      <c r="D43" s="11" t="str">
        <f t="shared" si="3"/>
        <v>The Total stats of Hitmonchan are 455</v>
      </c>
      <c r="E43" s="11"/>
      <c r="F43" s="11"/>
      <c r="G43" s="11"/>
      <c r="H43" s="11"/>
      <c r="I43" s="11"/>
      <c r="J43" s="11"/>
      <c r="K43" s="11"/>
    </row>
    <row r="44" spans="1:11" x14ac:dyDescent="0.3">
      <c r="A44" s="2" t="s">
        <v>5</v>
      </c>
      <c r="B44" s="2" t="s">
        <v>12</v>
      </c>
      <c r="C44" s="2">
        <v>405</v>
      </c>
      <c r="D44" s="11" t="str">
        <f t="shared" si="3"/>
        <v>The Total stats of Charmeleon are 405</v>
      </c>
      <c r="E44" s="11"/>
      <c r="F44" s="11"/>
      <c r="G44" s="11"/>
      <c r="H44" s="11"/>
      <c r="I44" s="11"/>
      <c r="J44" s="11"/>
      <c r="K44" s="11"/>
    </row>
    <row r="45" spans="1:11" x14ac:dyDescent="0.3">
      <c r="A45" s="2" t="s">
        <v>71</v>
      </c>
      <c r="B45" s="2" t="s">
        <v>69</v>
      </c>
      <c r="C45" s="2">
        <v>438</v>
      </c>
      <c r="D45" s="11" t="str">
        <f t="shared" si="3"/>
        <v>The Total stats of Arbok are 438</v>
      </c>
      <c r="E45" s="11"/>
      <c r="F45" s="11"/>
      <c r="G45" s="11"/>
      <c r="H45" s="11"/>
      <c r="I45" s="11"/>
      <c r="J45" s="11"/>
      <c r="K45" s="11"/>
    </row>
    <row r="46" spans="1:11" x14ac:dyDescent="0.3">
      <c r="A46" s="2" t="s">
        <v>72</v>
      </c>
      <c r="B46" s="2" t="s">
        <v>73</v>
      </c>
      <c r="C46" s="2">
        <v>310</v>
      </c>
      <c r="D46" s="11" t="str">
        <f t="shared" si="3"/>
        <v>The Total stats of Gastly are 310</v>
      </c>
      <c r="E46" s="11"/>
      <c r="F46" s="11"/>
      <c r="G46" s="11"/>
      <c r="H46" s="11"/>
      <c r="I46" s="11"/>
      <c r="J46" s="11"/>
      <c r="K46" s="11"/>
    </row>
    <row r="47" spans="1:11" x14ac:dyDescent="0.3">
      <c r="A47" s="2" t="s">
        <v>74</v>
      </c>
      <c r="B47" s="2" t="s">
        <v>13</v>
      </c>
      <c r="C47" s="2">
        <v>200</v>
      </c>
      <c r="D47" s="11" t="str">
        <f t="shared" si="3"/>
        <v>The Total stats of Magikarp are 200</v>
      </c>
      <c r="E47" s="11"/>
      <c r="F47" s="11"/>
      <c r="G47" s="11"/>
      <c r="H47" s="11"/>
      <c r="I47" s="11"/>
      <c r="J47" s="11"/>
      <c r="K47" s="11"/>
    </row>
  </sheetData>
  <mergeCells count="85">
    <mergeCell ref="M20:Q20"/>
    <mergeCell ref="D47:K47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D45:K45"/>
    <mergeCell ref="D46:K46"/>
    <mergeCell ref="M12:Q12"/>
    <mergeCell ref="M13:Q13"/>
    <mergeCell ref="H17:L17"/>
    <mergeCell ref="D35:K35"/>
    <mergeCell ref="M21:Q21"/>
    <mergeCell ref="M22:Q22"/>
    <mergeCell ref="A25:I25"/>
    <mergeCell ref="D27:K27"/>
    <mergeCell ref="D28:K28"/>
    <mergeCell ref="D29:K29"/>
    <mergeCell ref="D30:K30"/>
    <mergeCell ref="D31:K31"/>
    <mergeCell ref="D32:K32"/>
    <mergeCell ref="D33:K33"/>
    <mergeCell ref="D34:K34"/>
    <mergeCell ref="H21:L21"/>
    <mergeCell ref="M19:Q19"/>
    <mergeCell ref="M2:Q2"/>
    <mergeCell ref="M3:Q3"/>
    <mergeCell ref="M4:Q4"/>
    <mergeCell ref="M5:Q5"/>
    <mergeCell ref="M6:Q6"/>
    <mergeCell ref="M7:Q7"/>
    <mergeCell ref="M8:Q8"/>
    <mergeCell ref="M14:Q14"/>
    <mergeCell ref="M15:Q15"/>
    <mergeCell ref="M16:Q16"/>
    <mergeCell ref="M17:Q17"/>
    <mergeCell ref="M18:Q18"/>
    <mergeCell ref="M9:Q9"/>
    <mergeCell ref="M10:Q10"/>
    <mergeCell ref="M11:Q11"/>
    <mergeCell ref="H14:L14"/>
    <mergeCell ref="H15:L15"/>
    <mergeCell ref="H16:L16"/>
    <mergeCell ref="H12:L12"/>
    <mergeCell ref="H18:L18"/>
    <mergeCell ref="D19:G19"/>
    <mergeCell ref="D20:G20"/>
    <mergeCell ref="D21:G21"/>
    <mergeCell ref="D22:G22"/>
    <mergeCell ref="H19:L19"/>
    <mergeCell ref="H20:L20"/>
    <mergeCell ref="H22:L22"/>
    <mergeCell ref="D17:G17"/>
    <mergeCell ref="D18:G18"/>
    <mergeCell ref="H2:L2"/>
    <mergeCell ref="H3:L3"/>
    <mergeCell ref="H4:L4"/>
    <mergeCell ref="H5:L5"/>
    <mergeCell ref="H6:L6"/>
    <mergeCell ref="H7:L7"/>
    <mergeCell ref="D13:G13"/>
    <mergeCell ref="D14:G14"/>
    <mergeCell ref="D15:G15"/>
    <mergeCell ref="D16:G16"/>
    <mergeCell ref="D7:G7"/>
    <mergeCell ref="D8:G8"/>
    <mergeCell ref="D9:G9"/>
    <mergeCell ref="D10:G10"/>
    <mergeCell ref="D11:G11"/>
    <mergeCell ref="D12:G12"/>
    <mergeCell ref="H13:L13"/>
    <mergeCell ref="H8:L8"/>
    <mergeCell ref="H9:L9"/>
    <mergeCell ref="H10:L10"/>
    <mergeCell ref="H11:L11"/>
    <mergeCell ref="D2:G2"/>
    <mergeCell ref="D3:G3"/>
    <mergeCell ref="D4:G4"/>
    <mergeCell ref="D5:G5"/>
    <mergeCell ref="D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21C5-C7B6-49AD-8241-775FFB868EB4}">
  <dimension ref="A1:S307"/>
  <sheetViews>
    <sheetView topLeftCell="A287" zoomScale="109" workbookViewId="0">
      <selection activeCell="O301" sqref="O301"/>
    </sheetView>
  </sheetViews>
  <sheetFormatPr defaultRowHeight="14.4" x14ac:dyDescent="0.3"/>
  <cols>
    <col min="1" max="1" width="14.44140625" customWidth="1"/>
    <col min="2" max="2" width="9.44140625" customWidth="1"/>
    <col min="3" max="3" width="9.5546875" customWidth="1"/>
    <col min="4" max="4" width="9.77734375" customWidth="1"/>
    <col min="5" max="5" width="10.109375" customWidth="1"/>
  </cols>
  <sheetData>
    <row r="1" spans="1:12" x14ac:dyDescent="0.3">
      <c r="A1" s="8" t="s">
        <v>85</v>
      </c>
      <c r="B1" s="9"/>
      <c r="C1" s="9"/>
      <c r="D1" s="9"/>
      <c r="E1" s="9"/>
      <c r="F1" s="9"/>
      <c r="G1" s="9"/>
    </row>
    <row r="2" spans="1:12" x14ac:dyDescent="0.3">
      <c r="A2" s="4"/>
      <c r="B2" s="5"/>
      <c r="C2" s="5"/>
      <c r="D2" s="5"/>
      <c r="E2" s="5"/>
      <c r="F2" s="5"/>
      <c r="G2" s="5"/>
    </row>
    <row r="4" spans="1:12" x14ac:dyDescent="0.3">
      <c r="A4" s="1" t="s">
        <v>0</v>
      </c>
      <c r="B4" s="1" t="s">
        <v>46</v>
      </c>
      <c r="C4" s="1" t="s">
        <v>80</v>
      </c>
      <c r="D4" s="1" t="s">
        <v>47</v>
      </c>
    </row>
    <row r="5" spans="1:12" x14ac:dyDescent="0.3">
      <c r="A5" s="2" t="s">
        <v>48</v>
      </c>
      <c r="B5" s="2" t="s">
        <v>49</v>
      </c>
      <c r="C5" s="2"/>
      <c r="D5" s="2">
        <v>305</v>
      </c>
      <c r="F5" s="14" t="s">
        <v>87</v>
      </c>
      <c r="G5" s="15"/>
      <c r="H5" s="15"/>
      <c r="I5" s="15"/>
      <c r="J5" s="15"/>
      <c r="K5" s="15"/>
      <c r="L5" s="15"/>
    </row>
    <row r="6" spans="1:12" x14ac:dyDescent="0.3">
      <c r="A6" s="2" t="s">
        <v>50</v>
      </c>
      <c r="B6" s="2" t="s">
        <v>13</v>
      </c>
      <c r="C6" s="2" t="s">
        <v>49</v>
      </c>
      <c r="D6" s="2">
        <v>510</v>
      </c>
      <c r="F6" s="15"/>
      <c r="G6" s="15"/>
      <c r="H6" s="15"/>
      <c r="I6" s="15"/>
      <c r="J6" s="15"/>
      <c r="K6" s="15"/>
      <c r="L6" s="15"/>
    </row>
    <row r="7" spans="1:12" x14ac:dyDescent="0.3">
      <c r="A7" s="2" t="s">
        <v>51</v>
      </c>
      <c r="B7" s="2" t="s">
        <v>11</v>
      </c>
      <c r="C7" s="2" t="s">
        <v>69</v>
      </c>
      <c r="D7" s="2">
        <v>490</v>
      </c>
    </row>
    <row r="8" spans="1:12" x14ac:dyDescent="0.3">
      <c r="A8" s="2" t="s">
        <v>52</v>
      </c>
      <c r="B8" s="2" t="s">
        <v>13</v>
      </c>
      <c r="C8" s="2" t="s">
        <v>69</v>
      </c>
      <c r="D8" s="2">
        <v>335</v>
      </c>
    </row>
    <row r="9" spans="1:12" x14ac:dyDescent="0.3">
      <c r="A9" s="2" t="s">
        <v>53</v>
      </c>
      <c r="B9" s="2" t="s">
        <v>54</v>
      </c>
      <c r="C9" s="2" t="s">
        <v>81</v>
      </c>
      <c r="D9" s="2">
        <v>465</v>
      </c>
    </row>
    <row r="10" spans="1:12" x14ac:dyDescent="0.3">
      <c r="A10" s="2" t="s">
        <v>55</v>
      </c>
      <c r="B10" s="2" t="s">
        <v>13</v>
      </c>
      <c r="C10" s="2" t="s">
        <v>82</v>
      </c>
      <c r="D10" s="2">
        <v>475</v>
      </c>
    </row>
    <row r="11" spans="1:12" x14ac:dyDescent="0.3">
      <c r="A11" s="2" t="s">
        <v>56</v>
      </c>
      <c r="B11" s="2" t="s">
        <v>13</v>
      </c>
      <c r="C11" s="2" t="s">
        <v>82</v>
      </c>
      <c r="D11" s="2">
        <v>525</v>
      </c>
    </row>
    <row r="12" spans="1:12" x14ac:dyDescent="0.3">
      <c r="A12" s="2" t="s">
        <v>57</v>
      </c>
      <c r="B12" s="2" t="s">
        <v>58</v>
      </c>
      <c r="C12" s="2" t="s">
        <v>83</v>
      </c>
      <c r="D12" s="2">
        <v>385</v>
      </c>
    </row>
    <row r="13" spans="1:12" x14ac:dyDescent="0.3">
      <c r="A13" s="2" t="s">
        <v>59</v>
      </c>
      <c r="B13" s="2" t="s">
        <v>60</v>
      </c>
      <c r="C13" s="2"/>
      <c r="D13" s="2">
        <v>420</v>
      </c>
    </row>
    <row r="14" spans="1:12" x14ac:dyDescent="0.3">
      <c r="A14" s="2" t="s">
        <v>61</v>
      </c>
      <c r="B14" s="2" t="s">
        <v>62</v>
      </c>
      <c r="C14" s="2" t="s">
        <v>84</v>
      </c>
      <c r="D14" s="2">
        <v>349</v>
      </c>
    </row>
    <row r="15" spans="1:12" x14ac:dyDescent="0.3">
      <c r="A15" s="2" t="s">
        <v>63</v>
      </c>
      <c r="B15" s="2" t="s">
        <v>62</v>
      </c>
      <c r="C15" s="2"/>
      <c r="D15" s="2">
        <v>253</v>
      </c>
    </row>
    <row r="16" spans="1:12" x14ac:dyDescent="0.3">
      <c r="A16" s="2" t="s">
        <v>64</v>
      </c>
      <c r="B16" s="2" t="s">
        <v>65</v>
      </c>
      <c r="C16" s="2" t="s">
        <v>69</v>
      </c>
      <c r="D16" s="2">
        <v>395</v>
      </c>
    </row>
    <row r="17" spans="1:7" x14ac:dyDescent="0.3">
      <c r="A17" s="2" t="s">
        <v>66</v>
      </c>
      <c r="B17" s="2" t="s">
        <v>62</v>
      </c>
      <c r="C17" s="2" t="s">
        <v>84</v>
      </c>
      <c r="D17" s="2">
        <v>310</v>
      </c>
    </row>
    <row r="18" spans="1:7" x14ac:dyDescent="0.3">
      <c r="A18" s="2" t="s">
        <v>67</v>
      </c>
      <c r="B18" s="2" t="s">
        <v>13</v>
      </c>
      <c r="C18" s="2"/>
      <c r="D18" s="2">
        <v>475</v>
      </c>
    </row>
    <row r="19" spans="1:7" x14ac:dyDescent="0.3">
      <c r="A19" s="2" t="s">
        <v>68</v>
      </c>
      <c r="B19" s="2" t="s">
        <v>69</v>
      </c>
      <c r="C19" s="2" t="s">
        <v>83</v>
      </c>
      <c r="D19" s="2">
        <v>505</v>
      </c>
    </row>
    <row r="20" spans="1:7" x14ac:dyDescent="0.3">
      <c r="A20" s="2" t="s">
        <v>70</v>
      </c>
      <c r="B20" s="2" t="s">
        <v>49</v>
      </c>
      <c r="C20" s="2"/>
      <c r="D20" s="2">
        <v>455</v>
      </c>
    </row>
    <row r="21" spans="1:7" x14ac:dyDescent="0.3">
      <c r="A21" s="2" t="s">
        <v>5</v>
      </c>
      <c r="B21" s="2" t="s">
        <v>12</v>
      </c>
      <c r="C21" s="2"/>
      <c r="D21" s="2">
        <v>405</v>
      </c>
    </row>
    <row r="22" spans="1:7" x14ac:dyDescent="0.3">
      <c r="A22" s="2" t="s">
        <v>71</v>
      </c>
      <c r="B22" s="2" t="s">
        <v>69</v>
      </c>
      <c r="C22" s="2"/>
      <c r="D22" s="2">
        <v>438</v>
      </c>
    </row>
    <row r="23" spans="1:7" x14ac:dyDescent="0.3">
      <c r="A23" s="2" t="s">
        <v>72</v>
      </c>
      <c r="B23" s="2" t="s">
        <v>73</v>
      </c>
      <c r="C23" s="2" t="s">
        <v>69</v>
      </c>
      <c r="D23" s="2">
        <v>310</v>
      </c>
    </row>
    <row r="24" spans="1:7" x14ac:dyDescent="0.3">
      <c r="A24" s="2" t="s">
        <v>74</v>
      </c>
      <c r="B24" s="2" t="s">
        <v>13</v>
      </c>
      <c r="C24" s="2"/>
      <c r="D24" s="2">
        <v>200</v>
      </c>
    </row>
    <row r="25" spans="1:7" x14ac:dyDescent="0.3">
      <c r="C25" t="s">
        <v>86</v>
      </c>
      <c r="D25">
        <f>COUNT(D5:D24)</f>
        <v>20</v>
      </c>
    </row>
    <row r="28" spans="1:7" x14ac:dyDescent="0.3">
      <c r="A28" s="8" t="s">
        <v>88</v>
      </c>
      <c r="B28" s="9"/>
      <c r="C28" s="9"/>
      <c r="D28" s="9"/>
      <c r="E28" s="9"/>
      <c r="F28" s="9"/>
      <c r="G28" s="9"/>
    </row>
    <row r="30" spans="1:7" x14ac:dyDescent="0.3">
      <c r="A30" s="1" t="s">
        <v>0</v>
      </c>
      <c r="B30" s="1" t="s">
        <v>46</v>
      </c>
      <c r="C30" s="1" t="s">
        <v>80</v>
      </c>
      <c r="D30" s="1" t="s">
        <v>47</v>
      </c>
    </row>
    <row r="31" spans="1:7" x14ac:dyDescent="0.3">
      <c r="A31" s="2" t="s">
        <v>48</v>
      </c>
      <c r="B31" s="2" t="s">
        <v>49</v>
      </c>
      <c r="C31" s="2"/>
      <c r="D31" s="2">
        <v>305</v>
      </c>
    </row>
    <row r="32" spans="1:7" x14ac:dyDescent="0.3">
      <c r="A32" s="2" t="s">
        <v>50</v>
      </c>
      <c r="B32" s="2" t="s">
        <v>13</v>
      </c>
      <c r="C32" s="2" t="s">
        <v>49</v>
      </c>
      <c r="D32" s="2">
        <v>510</v>
      </c>
    </row>
    <row r="33" spans="1:19" x14ac:dyDescent="0.3">
      <c r="A33" s="2" t="s">
        <v>51</v>
      </c>
      <c r="B33" s="2" t="s">
        <v>11</v>
      </c>
      <c r="C33" s="2" t="s">
        <v>69</v>
      </c>
      <c r="D33" s="2">
        <v>490</v>
      </c>
    </row>
    <row r="34" spans="1:19" x14ac:dyDescent="0.3">
      <c r="A34" s="2" t="s">
        <v>52</v>
      </c>
      <c r="B34" s="2" t="s">
        <v>13</v>
      </c>
      <c r="C34" s="2" t="s">
        <v>69</v>
      </c>
      <c r="D34" s="2">
        <v>335</v>
      </c>
      <c r="F34" s="8" t="s">
        <v>89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3">
      <c r="A35" s="2" t="s">
        <v>53</v>
      </c>
      <c r="B35" s="2" t="s">
        <v>54</v>
      </c>
      <c r="C35" s="2" t="s">
        <v>81</v>
      </c>
      <c r="D35" s="2">
        <v>465</v>
      </c>
    </row>
    <row r="36" spans="1:19" x14ac:dyDescent="0.3">
      <c r="A36" s="2" t="s">
        <v>55</v>
      </c>
      <c r="B36" s="2" t="s">
        <v>13</v>
      </c>
      <c r="C36" s="2" t="s">
        <v>82</v>
      </c>
      <c r="D36" s="2">
        <v>475</v>
      </c>
    </row>
    <row r="37" spans="1:19" x14ac:dyDescent="0.3">
      <c r="A37" s="2" t="s">
        <v>56</v>
      </c>
      <c r="B37" s="2" t="s">
        <v>13</v>
      </c>
      <c r="C37" s="2" t="s">
        <v>82</v>
      </c>
      <c r="D37" s="2">
        <v>525</v>
      </c>
    </row>
    <row r="38" spans="1:19" x14ac:dyDescent="0.3">
      <c r="A38" s="2" t="s">
        <v>57</v>
      </c>
      <c r="B38" s="2" t="s">
        <v>58</v>
      </c>
      <c r="C38" s="2" t="s">
        <v>83</v>
      </c>
      <c r="D38" s="2">
        <v>385</v>
      </c>
    </row>
    <row r="39" spans="1:19" x14ac:dyDescent="0.3">
      <c r="A39" s="2" t="s">
        <v>59</v>
      </c>
      <c r="B39" s="2" t="s">
        <v>60</v>
      </c>
      <c r="C39" s="2"/>
      <c r="D39" s="2">
        <v>420</v>
      </c>
    </row>
    <row r="40" spans="1:19" x14ac:dyDescent="0.3">
      <c r="A40" s="2" t="s">
        <v>61</v>
      </c>
      <c r="B40" s="2" t="s">
        <v>62</v>
      </c>
      <c r="C40" s="2" t="s">
        <v>84</v>
      </c>
      <c r="D40" s="2">
        <v>349</v>
      </c>
    </row>
    <row r="41" spans="1:19" x14ac:dyDescent="0.3">
      <c r="A41" s="2" t="s">
        <v>63</v>
      </c>
      <c r="B41" s="2" t="s">
        <v>62</v>
      </c>
      <c r="C41" s="2"/>
      <c r="D41" s="2">
        <v>253</v>
      </c>
    </row>
    <row r="42" spans="1:19" x14ac:dyDescent="0.3">
      <c r="A42" s="2" t="s">
        <v>64</v>
      </c>
      <c r="B42" s="2" t="s">
        <v>65</v>
      </c>
      <c r="C42" s="2" t="s">
        <v>69</v>
      </c>
      <c r="D42" s="2">
        <v>395</v>
      </c>
    </row>
    <row r="43" spans="1:19" x14ac:dyDescent="0.3">
      <c r="A43" s="2" t="s">
        <v>66</v>
      </c>
      <c r="B43" s="2" t="s">
        <v>62</v>
      </c>
      <c r="C43" s="2" t="s">
        <v>84</v>
      </c>
      <c r="D43" s="2">
        <v>310</v>
      </c>
    </row>
    <row r="44" spans="1:19" x14ac:dyDescent="0.3">
      <c r="A44" s="2" t="s">
        <v>67</v>
      </c>
      <c r="B44" s="2" t="s">
        <v>13</v>
      </c>
      <c r="C44" s="2"/>
      <c r="D44" s="2">
        <v>475</v>
      </c>
    </row>
    <row r="45" spans="1:19" x14ac:dyDescent="0.3">
      <c r="A45" s="2" t="s">
        <v>68</v>
      </c>
      <c r="B45" s="2" t="s">
        <v>69</v>
      </c>
      <c r="C45" s="2" t="s">
        <v>83</v>
      </c>
      <c r="D45" s="2">
        <v>505</v>
      </c>
    </row>
    <row r="46" spans="1:19" x14ac:dyDescent="0.3">
      <c r="A46" s="2" t="s">
        <v>70</v>
      </c>
      <c r="B46" s="2" t="s">
        <v>49</v>
      </c>
      <c r="C46" s="2"/>
      <c r="D46" s="2">
        <v>455</v>
      </c>
    </row>
    <row r="47" spans="1:19" x14ac:dyDescent="0.3">
      <c r="A47" s="2" t="s">
        <v>5</v>
      </c>
      <c r="B47" s="2" t="s">
        <v>12</v>
      </c>
      <c r="C47" s="2"/>
      <c r="D47" s="2">
        <v>405</v>
      </c>
    </row>
    <row r="48" spans="1:19" x14ac:dyDescent="0.3">
      <c r="A48" s="2" t="s">
        <v>71</v>
      </c>
      <c r="B48" s="2" t="s">
        <v>69</v>
      </c>
      <c r="C48" s="2"/>
      <c r="D48" s="2">
        <v>438</v>
      </c>
    </row>
    <row r="49" spans="1:7" x14ac:dyDescent="0.3">
      <c r="A49" s="2" t="s">
        <v>72</v>
      </c>
      <c r="B49" s="2" t="s">
        <v>73</v>
      </c>
      <c r="C49" s="2" t="s">
        <v>69</v>
      </c>
      <c r="D49" s="2">
        <v>310</v>
      </c>
    </row>
    <row r="50" spans="1:7" x14ac:dyDescent="0.3">
      <c r="A50" s="2" t="s">
        <v>74</v>
      </c>
      <c r="B50" s="2" t="s">
        <v>13</v>
      </c>
      <c r="C50" s="2"/>
      <c r="D50" s="2">
        <v>200</v>
      </c>
    </row>
    <row r="52" spans="1:7" x14ac:dyDescent="0.3">
      <c r="A52" t="s">
        <v>86</v>
      </c>
      <c r="B52">
        <f>COUNTA(B31:B50)</f>
        <v>20</v>
      </c>
      <c r="C52" t="s">
        <v>86</v>
      </c>
      <c r="D52">
        <f>COUNTA(D31:D50)</f>
        <v>20</v>
      </c>
    </row>
    <row r="55" spans="1:7" x14ac:dyDescent="0.3">
      <c r="A55" s="8" t="s">
        <v>90</v>
      </c>
      <c r="B55" s="9"/>
      <c r="C55" s="9"/>
      <c r="D55" s="9"/>
      <c r="E55" s="9"/>
      <c r="F55" s="9"/>
      <c r="G55" s="9"/>
    </row>
    <row r="57" spans="1:7" x14ac:dyDescent="0.3">
      <c r="A57" s="1" t="s">
        <v>0</v>
      </c>
      <c r="B57" s="1" t="s">
        <v>46</v>
      </c>
      <c r="C57" s="1" t="s">
        <v>80</v>
      </c>
      <c r="D57" s="1" t="s">
        <v>47</v>
      </c>
    </row>
    <row r="58" spans="1:7" x14ac:dyDescent="0.3">
      <c r="A58" s="2" t="s">
        <v>48</v>
      </c>
      <c r="B58" s="2" t="s">
        <v>49</v>
      </c>
      <c r="C58" s="2"/>
      <c r="D58" s="2">
        <v>305</v>
      </c>
    </row>
    <row r="59" spans="1:7" x14ac:dyDescent="0.3">
      <c r="A59" s="2" t="s">
        <v>50</v>
      </c>
      <c r="B59" s="2" t="s">
        <v>13</v>
      </c>
      <c r="C59" s="2" t="s">
        <v>49</v>
      </c>
      <c r="D59" s="2">
        <v>510</v>
      </c>
    </row>
    <row r="60" spans="1:7" x14ac:dyDescent="0.3">
      <c r="A60" s="2" t="s">
        <v>51</v>
      </c>
      <c r="B60" s="2" t="s">
        <v>11</v>
      </c>
      <c r="C60" s="2" t="s">
        <v>69</v>
      </c>
      <c r="D60" s="2">
        <v>490</v>
      </c>
    </row>
    <row r="61" spans="1:7" x14ac:dyDescent="0.3">
      <c r="A61" s="2" t="s">
        <v>52</v>
      </c>
      <c r="B61" s="2" t="s">
        <v>13</v>
      </c>
      <c r="C61" s="2" t="s">
        <v>69</v>
      </c>
      <c r="D61" s="2">
        <v>335</v>
      </c>
    </row>
    <row r="62" spans="1:7" x14ac:dyDescent="0.3">
      <c r="A62" s="2" t="s">
        <v>53</v>
      </c>
      <c r="B62" s="2" t="s">
        <v>54</v>
      </c>
      <c r="C62" s="2" t="s">
        <v>81</v>
      </c>
      <c r="D62" s="2">
        <v>465</v>
      </c>
    </row>
    <row r="63" spans="1:7" x14ac:dyDescent="0.3">
      <c r="A63" s="2" t="s">
        <v>55</v>
      </c>
      <c r="B63" s="2" t="s">
        <v>13</v>
      </c>
      <c r="C63" s="2" t="s">
        <v>82</v>
      </c>
      <c r="D63" s="2">
        <v>475</v>
      </c>
    </row>
    <row r="64" spans="1:7" x14ac:dyDescent="0.3">
      <c r="A64" s="2" t="s">
        <v>56</v>
      </c>
      <c r="B64" s="2" t="s">
        <v>13</v>
      </c>
      <c r="C64" s="2" t="s">
        <v>82</v>
      </c>
      <c r="D64" s="2">
        <v>525</v>
      </c>
    </row>
    <row r="65" spans="1:4" x14ac:dyDescent="0.3">
      <c r="A65" s="2" t="s">
        <v>57</v>
      </c>
      <c r="B65" s="2" t="s">
        <v>58</v>
      </c>
      <c r="C65" s="2" t="s">
        <v>83</v>
      </c>
      <c r="D65" s="2">
        <v>385</v>
      </c>
    </row>
    <row r="66" spans="1:4" x14ac:dyDescent="0.3">
      <c r="A66" s="2" t="s">
        <v>59</v>
      </c>
      <c r="B66" s="2" t="s">
        <v>60</v>
      </c>
      <c r="C66" s="2"/>
      <c r="D66" s="2">
        <v>420</v>
      </c>
    </row>
    <row r="67" spans="1:4" x14ac:dyDescent="0.3">
      <c r="A67" s="2" t="s">
        <v>61</v>
      </c>
      <c r="B67" s="2" t="s">
        <v>62</v>
      </c>
      <c r="C67" s="2" t="s">
        <v>84</v>
      </c>
      <c r="D67" s="2">
        <v>349</v>
      </c>
    </row>
    <row r="68" spans="1:4" x14ac:dyDescent="0.3">
      <c r="A68" s="2" t="s">
        <v>63</v>
      </c>
      <c r="B68" s="2" t="s">
        <v>62</v>
      </c>
      <c r="C68" s="2"/>
      <c r="D68" s="2">
        <v>253</v>
      </c>
    </row>
    <row r="69" spans="1:4" x14ac:dyDescent="0.3">
      <c r="A69" s="2" t="s">
        <v>64</v>
      </c>
      <c r="B69" s="2" t="s">
        <v>65</v>
      </c>
      <c r="C69" s="2" t="s">
        <v>69</v>
      </c>
      <c r="D69" s="2">
        <v>395</v>
      </c>
    </row>
    <row r="70" spans="1:4" x14ac:dyDescent="0.3">
      <c r="A70" s="2" t="s">
        <v>66</v>
      </c>
      <c r="B70" s="2" t="s">
        <v>62</v>
      </c>
      <c r="C70" s="2" t="s">
        <v>84</v>
      </c>
      <c r="D70" s="2">
        <v>310</v>
      </c>
    </row>
    <row r="71" spans="1:4" x14ac:dyDescent="0.3">
      <c r="A71" s="2" t="s">
        <v>67</v>
      </c>
      <c r="B71" s="2" t="s">
        <v>13</v>
      </c>
      <c r="C71" s="2"/>
      <c r="D71" s="2">
        <v>475</v>
      </c>
    </row>
    <row r="72" spans="1:4" x14ac:dyDescent="0.3">
      <c r="A72" s="2" t="s">
        <v>68</v>
      </c>
      <c r="B72" s="2" t="s">
        <v>69</v>
      </c>
      <c r="C72" s="2" t="s">
        <v>83</v>
      </c>
      <c r="D72" s="2">
        <v>505</v>
      </c>
    </row>
    <row r="73" spans="1:4" x14ac:dyDescent="0.3">
      <c r="A73" s="2" t="s">
        <v>70</v>
      </c>
      <c r="B73" s="2" t="s">
        <v>49</v>
      </c>
      <c r="C73" s="2"/>
      <c r="D73" s="2">
        <v>455</v>
      </c>
    </row>
    <row r="74" spans="1:4" x14ac:dyDescent="0.3">
      <c r="A74" s="2" t="s">
        <v>5</v>
      </c>
      <c r="B74" s="2" t="s">
        <v>12</v>
      </c>
      <c r="C74" s="2"/>
      <c r="D74" s="2">
        <v>405</v>
      </c>
    </row>
    <row r="75" spans="1:4" x14ac:dyDescent="0.3">
      <c r="A75" s="2" t="s">
        <v>71</v>
      </c>
      <c r="B75" s="2" t="s">
        <v>69</v>
      </c>
      <c r="C75" s="2"/>
      <c r="D75" s="2">
        <v>438</v>
      </c>
    </row>
    <row r="76" spans="1:4" x14ac:dyDescent="0.3">
      <c r="A76" s="2" t="s">
        <v>72</v>
      </c>
      <c r="B76" s="2" t="s">
        <v>73</v>
      </c>
      <c r="C76" s="2" t="s">
        <v>69</v>
      </c>
      <c r="D76" s="2">
        <v>310</v>
      </c>
    </row>
    <row r="77" spans="1:4" x14ac:dyDescent="0.3">
      <c r="A77" s="2" t="s">
        <v>74</v>
      </c>
      <c r="B77" s="2" t="s">
        <v>13</v>
      </c>
      <c r="C77" s="2"/>
      <c r="D77" s="2">
        <v>200</v>
      </c>
    </row>
    <row r="79" spans="1:4" x14ac:dyDescent="0.3">
      <c r="B79" t="s">
        <v>86</v>
      </c>
      <c r="C79">
        <f>COUNTBLANK(C58:C77)</f>
        <v>8</v>
      </c>
    </row>
    <row r="82" spans="1:8" x14ac:dyDescent="0.3">
      <c r="A82" s="8" t="s">
        <v>91</v>
      </c>
      <c r="B82" s="9"/>
      <c r="C82" s="9"/>
      <c r="D82" s="9"/>
      <c r="E82" s="9"/>
      <c r="F82" s="9"/>
      <c r="G82" s="9"/>
      <c r="H82" s="9"/>
    </row>
    <row r="84" spans="1:8" x14ac:dyDescent="0.3">
      <c r="A84" s="1" t="s">
        <v>92</v>
      </c>
      <c r="B84" s="1" t="s">
        <v>46</v>
      </c>
      <c r="C84" s="1" t="s">
        <v>80</v>
      </c>
      <c r="D84" s="1" t="s">
        <v>47</v>
      </c>
    </row>
    <row r="85" spans="1:8" x14ac:dyDescent="0.3">
      <c r="A85" s="2" t="s">
        <v>93</v>
      </c>
      <c r="B85" s="2" t="s">
        <v>49</v>
      </c>
      <c r="C85" s="2"/>
      <c r="D85" s="2">
        <v>305</v>
      </c>
    </row>
    <row r="86" spans="1:8" x14ac:dyDescent="0.3">
      <c r="A86" s="2" t="s">
        <v>94</v>
      </c>
      <c r="B86" s="2" t="s">
        <v>13</v>
      </c>
      <c r="C86" s="2" t="s">
        <v>49</v>
      </c>
      <c r="D86" s="2">
        <v>510</v>
      </c>
    </row>
    <row r="87" spans="1:8" x14ac:dyDescent="0.3">
      <c r="A87" s="2" t="s">
        <v>95</v>
      </c>
      <c r="B87" s="2" t="s">
        <v>11</v>
      </c>
      <c r="C87" s="2" t="s">
        <v>69</v>
      </c>
      <c r="D87" s="2">
        <v>490</v>
      </c>
    </row>
    <row r="88" spans="1:8" x14ac:dyDescent="0.3">
      <c r="A88" s="2" t="s">
        <v>96</v>
      </c>
      <c r="B88" s="2" t="s">
        <v>13</v>
      </c>
      <c r="C88" s="2" t="s">
        <v>69</v>
      </c>
      <c r="D88" s="2">
        <v>335</v>
      </c>
      <c r="G88" s="1" t="s">
        <v>11</v>
      </c>
      <c r="H88" s="2">
        <f>COUNTIF(B85:B104,G88)</f>
        <v>1</v>
      </c>
    </row>
    <row r="89" spans="1:8" x14ac:dyDescent="0.3">
      <c r="A89" s="2" t="s">
        <v>97</v>
      </c>
      <c r="B89" s="2" t="s">
        <v>54</v>
      </c>
      <c r="C89" s="2" t="s">
        <v>81</v>
      </c>
      <c r="D89" s="2">
        <v>465</v>
      </c>
      <c r="G89" s="1" t="s">
        <v>13</v>
      </c>
      <c r="H89" s="2">
        <f t="shared" ref="H89:H98" si="0">COUNTIF(B86:B105,G89)</f>
        <v>6</v>
      </c>
    </row>
    <row r="90" spans="1:8" x14ac:dyDescent="0.3">
      <c r="A90" s="2" t="s">
        <v>98</v>
      </c>
      <c r="B90" s="2" t="s">
        <v>13</v>
      </c>
      <c r="C90" s="2" t="s">
        <v>82</v>
      </c>
      <c r="D90" s="2">
        <v>475</v>
      </c>
      <c r="G90" s="1" t="s">
        <v>54</v>
      </c>
      <c r="H90" s="2">
        <f t="shared" si="0"/>
        <v>1</v>
      </c>
    </row>
    <row r="91" spans="1:8" x14ac:dyDescent="0.3">
      <c r="A91" s="2" t="s">
        <v>99</v>
      </c>
      <c r="B91" s="2" t="s">
        <v>13</v>
      </c>
      <c r="C91" s="2" t="s">
        <v>82</v>
      </c>
      <c r="D91" s="2">
        <v>525</v>
      </c>
      <c r="G91" s="1" t="s">
        <v>49</v>
      </c>
      <c r="H91" s="2">
        <f t="shared" si="0"/>
        <v>1</v>
      </c>
    </row>
    <row r="92" spans="1:8" x14ac:dyDescent="0.3">
      <c r="A92" s="2" t="s">
        <v>100</v>
      </c>
      <c r="B92" s="2" t="s">
        <v>58</v>
      </c>
      <c r="C92" s="2" t="s">
        <v>83</v>
      </c>
      <c r="D92" s="2">
        <v>385</v>
      </c>
      <c r="G92" s="1" t="s">
        <v>58</v>
      </c>
      <c r="H92" s="2">
        <f t="shared" si="0"/>
        <v>1</v>
      </c>
    </row>
    <row r="93" spans="1:8" x14ac:dyDescent="0.3">
      <c r="A93" s="2" t="s">
        <v>101</v>
      </c>
      <c r="B93" s="2" t="s">
        <v>60</v>
      </c>
      <c r="C93" s="2"/>
      <c r="D93" s="2">
        <v>420</v>
      </c>
      <c r="G93" s="1" t="s">
        <v>60</v>
      </c>
      <c r="H93" s="2">
        <f t="shared" si="0"/>
        <v>1</v>
      </c>
    </row>
    <row r="94" spans="1:8" x14ac:dyDescent="0.3">
      <c r="A94" s="2" t="s">
        <v>102</v>
      </c>
      <c r="B94" s="2" t="s">
        <v>62</v>
      </c>
      <c r="C94" s="2" t="s">
        <v>84</v>
      </c>
      <c r="D94" s="2">
        <v>349</v>
      </c>
      <c r="G94" s="1" t="s">
        <v>62</v>
      </c>
      <c r="H94" s="2">
        <f t="shared" si="0"/>
        <v>3</v>
      </c>
    </row>
    <row r="95" spans="1:8" x14ac:dyDescent="0.3">
      <c r="A95" s="2" t="s">
        <v>103</v>
      </c>
      <c r="B95" s="2" t="s">
        <v>62</v>
      </c>
      <c r="C95" s="2"/>
      <c r="D95" s="2">
        <v>253</v>
      </c>
      <c r="G95" s="1" t="s">
        <v>65</v>
      </c>
      <c r="H95" s="2">
        <f t="shared" si="0"/>
        <v>1</v>
      </c>
    </row>
    <row r="96" spans="1:8" x14ac:dyDescent="0.3">
      <c r="A96" s="2" t="s">
        <v>104</v>
      </c>
      <c r="B96" s="2" t="s">
        <v>65</v>
      </c>
      <c r="C96" s="2" t="s">
        <v>69</v>
      </c>
      <c r="D96" s="2">
        <v>395</v>
      </c>
      <c r="G96" s="1" t="s">
        <v>69</v>
      </c>
      <c r="H96" s="2">
        <f t="shared" si="0"/>
        <v>2</v>
      </c>
    </row>
    <row r="97" spans="1:8" x14ac:dyDescent="0.3">
      <c r="A97" s="2" t="s">
        <v>105</v>
      </c>
      <c r="B97" s="2" t="s">
        <v>62</v>
      </c>
      <c r="C97" s="2" t="s">
        <v>84</v>
      </c>
      <c r="D97" s="2">
        <v>310</v>
      </c>
      <c r="G97" s="1" t="s">
        <v>12</v>
      </c>
      <c r="H97" s="2">
        <f t="shared" si="0"/>
        <v>3</v>
      </c>
    </row>
    <row r="98" spans="1:8" x14ac:dyDescent="0.3">
      <c r="A98" s="2" t="s">
        <v>106</v>
      </c>
      <c r="B98" s="2" t="s">
        <v>13</v>
      </c>
      <c r="C98" s="2"/>
      <c r="D98" s="2">
        <v>475</v>
      </c>
      <c r="G98" s="1" t="s">
        <v>73</v>
      </c>
      <c r="H98" s="2">
        <f t="shared" si="0"/>
        <v>1</v>
      </c>
    </row>
    <row r="99" spans="1:8" x14ac:dyDescent="0.3">
      <c r="A99" s="2" t="s">
        <v>107</v>
      </c>
      <c r="B99" s="2" t="s">
        <v>69</v>
      </c>
      <c r="C99" s="2" t="s">
        <v>83</v>
      </c>
      <c r="D99" s="2">
        <v>505</v>
      </c>
    </row>
    <row r="100" spans="1:8" x14ac:dyDescent="0.3">
      <c r="A100" s="2" t="s">
        <v>108</v>
      </c>
      <c r="B100" s="2" t="s">
        <v>49</v>
      </c>
      <c r="C100" s="2"/>
      <c r="D100" s="2">
        <v>455</v>
      </c>
    </row>
    <row r="101" spans="1:8" x14ac:dyDescent="0.3">
      <c r="A101" s="2" t="s">
        <v>109</v>
      </c>
      <c r="B101" s="2" t="s">
        <v>12</v>
      </c>
      <c r="C101" s="2"/>
      <c r="D101" s="2">
        <v>405</v>
      </c>
    </row>
    <row r="102" spans="1:8" x14ac:dyDescent="0.3">
      <c r="A102" s="2" t="s">
        <v>110</v>
      </c>
      <c r="B102" s="2" t="s">
        <v>69</v>
      </c>
      <c r="C102" s="2"/>
      <c r="D102" s="2">
        <v>438</v>
      </c>
    </row>
    <row r="103" spans="1:8" x14ac:dyDescent="0.3">
      <c r="A103" s="2" t="s">
        <v>111</v>
      </c>
      <c r="B103" s="2" t="s">
        <v>73</v>
      </c>
      <c r="C103" s="2" t="s">
        <v>69</v>
      </c>
      <c r="D103" s="2">
        <v>310</v>
      </c>
    </row>
    <row r="104" spans="1:8" x14ac:dyDescent="0.3">
      <c r="A104" s="2" t="s">
        <v>112</v>
      </c>
      <c r="B104" s="2" t="s">
        <v>13</v>
      </c>
      <c r="C104" s="2"/>
      <c r="D104" s="2">
        <v>200</v>
      </c>
    </row>
    <row r="105" spans="1:8" x14ac:dyDescent="0.3">
      <c r="A105" t="s">
        <v>113</v>
      </c>
    </row>
    <row r="107" spans="1:8" x14ac:dyDescent="0.3">
      <c r="A107" s="8" t="s">
        <v>114</v>
      </c>
      <c r="B107" s="9"/>
      <c r="C107" s="9"/>
      <c r="D107" s="9"/>
      <c r="E107" s="9"/>
      <c r="F107" s="9"/>
      <c r="G107" s="9"/>
      <c r="H107" s="9"/>
    </row>
    <row r="108" spans="1:8" x14ac:dyDescent="0.3">
      <c r="A108" s="1" t="s">
        <v>115</v>
      </c>
      <c r="B108" s="1" t="s">
        <v>46</v>
      </c>
      <c r="C108" s="1" t="s">
        <v>116</v>
      </c>
      <c r="D108" s="1" t="s">
        <v>117</v>
      </c>
      <c r="E108" s="10" t="s">
        <v>128</v>
      </c>
      <c r="F108" s="10"/>
      <c r="G108" s="10"/>
      <c r="H108" s="10"/>
    </row>
    <row r="109" spans="1:8" x14ac:dyDescent="0.3">
      <c r="A109" s="2" t="s">
        <v>118</v>
      </c>
      <c r="B109" s="2" t="s">
        <v>11</v>
      </c>
      <c r="C109" s="2">
        <v>318</v>
      </c>
      <c r="D109" s="2" t="str">
        <f>+IF(B109="Grass", "Yes", "No")</f>
        <v>Yes</v>
      </c>
      <c r="E109" s="11" t="str">
        <f>IF(C109&gt;400, "Yes", "No")</f>
        <v>No</v>
      </c>
      <c r="F109" s="11"/>
      <c r="G109" s="11"/>
      <c r="H109" s="11"/>
    </row>
    <row r="110" spans="1:8" x14ac:dyDescent="0.3">
      <c r="A110" s="2" t="s">
        <v>119</v>
      </c>
      <c r="B110" s="2" t="s">
        <v>11</v>
      </c>
      <c r="C110" s="2">
        <v>405</v>
      </c>
      <c r="D110" s="2" t="str">
        <f t="shared" ref="D110:D117" si="1">+IF(B110="Grass", "Yes", "No")</f>
        <v>Yes</v>
      </c>
      <c r="E110" s="11" t="str">
        <f t="shared" ref="E110:E117" si="2">IF(C110&gt;400, "Yes", "No")</f>
        <v>Yes</v>
      </c>
      <c r="F110" s="11"/>
      <c r="G110" s="11"/>
      <c r="H110" s="11"/>
    </row>
    <row r="111" spans="1:8" x14ac:dyDescent="0.3">
      <c r="A111" s="2" t="s">
        <v>120</v>
      </c>
      <c r="B111" s="2" t="s">
        <v>11</v>
      </c>
      <c r="C111" s="2">
        <v>525</v>
      </c>
      <c r="D111" s="2" t="str">
        <f t="shared" si="1"/>
        <v>Yes</v>
      </c>
      <c r="E111" s="11" t="str">
        <f t="shared" si="2"/>
        <v>Yes</v>
      </c>
      <c r="F111" s="11"/>
      <c r="G111" s="11"/>
      <c r="H111" s="11"/>
    </row>
    <row r="112" spans="1:8" x14ac:dyDescent="0.3">
      <c r="A112" s="2" t="s">
        <v>121</v>
      </c>
      <c r="B112" s="2" t="s">
        <v>12</v>
      </c>
      <c r="C112" s="2">
        <v>309</v>
      </c>
      <c r="D112" s="2" t="str">
        <f t="shared" si="1"/>
        <v>No</v>
      </c>
      <c r="E112" s="11" t="str">
        <f t="shared" si="2"/>
        <v>No</v>
      </c>
      <c r="F112" s="11"/>
      <c r="G112" s="11"/>
      <c r="H112" s="11"/>
    </row>
    <row r="113" spans="1:8" x14ac:dyDescent="0.3">
      <c r="A113" s="2" t="s">
        <v>122</v>
      </c>
      <c r="B113" s="2" t="s">
        <v>12</v>
      </c>
      <c r="C113" s="2">
        <v>405</v>
      </c>
      <c r="D113" s="2" t="str">
        <f t="shared" si="1"/>
        <v>No</v>
      </c>
      <c r="E113" s="11" t="str">
        <f t="shared" si="2"/>
        <v>Yes</v>
      </c>
      <c r="F113" s="11"/>
      <c r="G113" s="11"/>
      <c r="H113" s="11"/>
    </row>
    <row r="114" spans="1:8" x14ac:dyDescent="0.3">
      <c r="A114" s="2" t="s">
        <v>123</v>
      </c>
      <c r="B114" s="2" t="s">
        <v>12</v>
      </c>
      <c r="C114" s="2">
        <v>534</v>
      </c>
      <c r="D114" s="2" t="str">
        <f t="shared" si="1"/>
        <v>No</v>
      </c>
      <c r="E114" s="11" t="str">
        <f t="shared" si="2"/>
        <v>Yes</v>
      </c>
      <c r="F114" s="11"/>
      <c r="G114" s="11"/>
      <c r="H114" s="11"/>
    </row>
    <row r="115" spans="1:8" x14ac:dyDescent="0.3">
      <c r="A115" s="2" t="s">
        <v>124</v>
      </c>
      <c r="B115" s="2" t="s">
        <v>13</v>
      </c>
      <c r="C115" s="2">
        <v>314</v>
      </c>
      <c r="D115" s="2" t="str">
        <f t="shared" si="1"/>
        <v>No</v>
      </c>
      <c r="E115" s="11" t="str">
        <f t="shared" si="2"/>
        <v>No</v>
      </c>
      <c r="F115" s="11"/>
      <c r="G115" s="11"/>
      <c r="H115" s="11"/>
    </row>
    <row r="116" spans="1:8" x14ac:dyDescent="0.3">
      <c r="A116" s="2" t="s">
        <v>125</v>
      </c>
      <c r="B116" s="2" t="s">
        <v>13</v>
      </c>
      <c r="C116" s="2">
        <v>405</v>
      </c>
      <c r="D116" s="2" t="str">
        <f t="shared" si="1"/>
        <v>No</v>
      </c>
      <c r="E116" s="11" t="str">
        <f t="shared" si="2"/>
        <v>Yes</v>
      </c>
      <c r="F116" s="11"/>
      <c r="G116" s="11"/>
      <c r="H116" s="11"/>
    </row>
    <row r="117" spans="1:8" x14ac:dyDescent="0.3">
      <c r="A117" s="2" t="s">
        <v>126</v>
      </c>
      <c r="B117" s="2" t="s">
        <v>13</v>
      </c>
      <c r="C117" s="2">
        <v>530</v>
      </c>
      <c r="D117" s="2" t="str">
        <f t="shared" si="1"/>
        <v>No</v>
      </c>
      <c r="E117" s="11" t="str">
        <f t="shared" si="2"/>
        <v>Yes</v>
      </c>
      <c r="F117" s="11"/>
      <c r="G117" s="11"/>
      <c r="H117" s="11"/>
    </row>
    <row r="118" spans="1:8" x14ac:dyDescent="0.3">
      <c r="A118" t="s">
        <v>127</v>
      </c>
    </row>
    <row r="121" spans="1:8" x14ac:dyDescent="0.3">
      <c r="A121" s="8" t="s">
        <v>129</v>
      </c>
      <c r="B121" s="9"/>
      <c r="C121" s="9"/>
      <c r="D121" s="9"/>
      <c r="E121" s="9"/>
      <c r="F121" s="9"/>
      <c r="G121" s="9"/>
      <c r="H121" s="9"/>
    </row>
    <row r="123" spans="1:8" x14ac:dyDescent="0.3">
      <c r="A123" s="1" t="s">
        <v>92</v>
      </c>
      <c r="B123" s="1" t="s">
        <v>46</v>
      </c>
      <c r="C123" s="1" t="s">
        <v>14</v>
      </c>
      <c r="D123" s="10" t="s">
        <v>130</v>
      </c>
      <c r="E123" s="10"/>
    </row>
    <row r="124" spans="1:8" x14ac:dyDescent="0.3">
      <c r="A124" s="2" t="s">
        <v>131</v>
      </c>
      <c r="B124" s="2" t="s">
        <v>11</v>
      </c>
      <c r="C124" s="2">
        <v>45</v>
      </c>
      <c r="D124" s="11" t="str" cm="1">
        <f t="array" ref="D124">_xlfn.IFS(C124&gt;90, "Fast",C124&gt;50, "Normal", C124&lt;=50, "Slow")</f>
        <v>Slow</v>
      </c>
      <c r="E124" s="11"/>
    </row>
    <row r="125" spans="1:8" x14ac:dyDescent="0.3">
      <c r="A125" s="2" t="s">
        <v>132</v>
      </c>
      <c r="B125" s="2" t="s">
        <v>11</v>
      </c>
      <c r="C125" s="2">
        <v>60</v>
      </c>
      <c r="D125" s="11" t="str" cm="1">
        <f t="array" ref="D125">_xlfn.IFS(C125&gt;90, "Fast",C125&gt;50, "Normal", C125&lt;=50, "Slow")</f>
        <v>Normal</v>
      </c>
      <c r="E125" s="11"/>
    </row>
    <row r="126" spans="1:8" x14ac:dyDescent="0.3">
      <c r="A126" s="2" t="s">
        <v>133</v>
      </c>
      <c r="B126" s="2" t="s">
        <v>11</v>
      </c>
      <c r="C126" s="2">
        <v>80</v>
      </c>
      <c r="D126" s="11" t="str" cm="1">
        <f t="array" ref="D126">_xlfn.IFS(C126&gt;90, "Fast",C126&gt;50, "Normal", C126&lt;=50, "Slow")</f>
        <v>Normal</v>
      </c>
      <c r="E126" s="11"/>
    </row>
    <row r="127" spans="1:8" x14ac:dyDescent="0.3">
      <c r="A127" s="2" t="s">
        <v>134</v>
      </c>
      <c r="B127" s="2" t="s">
        <v>12</v>
      </c>
      <c r="C127" s="2">
        <v>65</v>
      </c>
      <c r="D127" s="11" t="str" cm="1">
        <f t="array" ref="D127">_xlfn.IFS(C127&gt;90, "Fast",C127&gt;50, "Normal", C127&lt;=50, "Slow")</f>
        <v>Normal</v>
      </c>
      <c r="E127" s="11"/>
    </row>
    <row r="128" spans="1:8" x14ac:dyDescent="0.3">
      <c r="A128" s="2" t="s">
        <v>109</v>
      </c>
      <c r="B128" s="2" t="s">
        <v>12</v>
      </c>
      <c r="C128" s="2">
        <v>80</v>
      </c>
      <c r="D128" s="11" t="str" cm="1">
        <f t="array" ref="D128">_xlfn.IFS(C128&gt;90, "Fast",C128&gt;50, "Normal", C128&lt;=50, "Slow")</f>
        <v>Normal</v>
      </c>
      <c r="E128" s="11"/>
    </row>
    <row r="129" spans="1:8" x14ac:dyDescent="0.3">
      <c r="A129" s="2" t="s">
        <v>135</v>
      </c>
      <c r="B129" s="2" t="s">
        <v>12</v>
      </c>
      <c r="C129" s="2">
        <v>100</v>
      </c>
      <c r="D129" s="11" t="str" cm="1">
        <f t="array" ref="D129">_xlfn.IFS(C129&gt;90, "Fast",C129&gt;50, "Normal", C129&lt;=50, "Slow")</f>
        <v>Fast</v>
      </c>
      <c r="E129" s="11"/>
    </row>
    <row r="130" spans="1:8" x14ac:dyDescent="0.3">
      <c r="A130" s="2" t="s">
        <v>136</v>
      </c>
      <c r="B130" s="2" t="s">
        <v>13</v>
      </c>
      <c r="C130" s="2">
        <v>43</v>
      </c>
      <c r="D130" s="11" t="str" cm="1">
        <f t="array" ref="D130">_xlfn.IFS(C130&gt;90, "Fast",C130&gt;50, "Normal", C130&lt;=50, "Slow")</f>
        <v>Slow</v>
      </c>
      <c r="E130" s="11"/>
    </row>
    <row r="131" spans="1:8" x14ac:dyDescent="0.3">
      <c r="A131" s="2" t="s">
        <v>137</v>
      </c>
      <c r="B131" s="2" t="s">
        <v>13</v>
      </c>
      <c r="C131" s="2">
        <v>58</v>
      </c>
      <c r="D131" s="11" t="str" cm="1">
        <f t="array" ref="D131">_xlfn.IFS(C131&gt;90, "Fast",C131&gt;50, "Normal", C131&lt;=50, "Slow")</f>
        <v>Normal</v>
      </c>
      <c r="E131" s="11"/>
    </row>
    <row r="132" spans="1:8" x14ac:dyDescent="0.3">
      <c r="A132" s="2" t="s">
        <v>138</v>
      </c>
      <c r="B132" s="2" t="s">
        <v>13</v>
      </c>
      <c r="C132" s="2">
        <v>78</v>
      </c>
      <c r="D132" s="11" t="str" cm="1">
        <f t="array" ref="D132">_xlfn.IFS(C132&gt;90, "Fast",C132&gt;50, "Normal", C132&lt;=50, "Slow")</f>
        <v>Normal</v>
      </c>
      <c r="E132" s="11"/>
    </row>
    <row r="133" spans="1:8" x14ac:dyDescent="0.3">
      <c r="A133" t="s">
        <v>113</v>
      </c>
    </row>
    <row r="135" spans="1:8" x14ac:dyDescent="0.3">
      <c r="A135" s="8" t="s">
        <v>141</v>
      </c>
      <c r="B135" s="9"/>
      <c r="C135" s="9"/>
      <c r="D135" s="9"/>
      <c r="E135" s="9"/>
      <c r="F135" s="9"/>
      <c r="G135" s="9"/>
      <c r="H135" s="9"/>
    </row>
    <row r="137" spans="1:8" x14ac:dyDescent="0.3">
      <c r="A137" s="1" t="s">
        <v>92</v>
      </c>
      <c r="B137" s="1" t="s">
        <v>46</v>
      </c>
      <c r="C137" s="1" t="s">
        <v>47</v>
      </c>
      <c r="D137" s="10" t="s">
        <v>139</v>
      </c>
      <c r="E137" s="10"/>
      <c r="F137" s="10" t="s">
        <v>140</v>
      </c>
      <c r="G137" s="10"/>
    </row>
    <row r="138" spans="1:8" x14ac:dyDescent="0.3">
      <c r="A138" s="2" t="s">
        <v>93</v>
      </c>
      <c r="B138" s="2" t="s">
        <v>49</v>
      </c>
      <c r="C138" s="2">
        <v>305</v>
      </c>
      <c r="D138" s="11" t="str">
        <f>LEFT(B138,3)</f>
        <v>Fig</v>
      </c>
      <c r="E138" s="11"/>
      <c r="F138" s="11" t="str">
        <f>RIGHT(A138,2)</f>
        <v>ey</v>
      </c>
      <c r="G138" s="11"/>
    </row>
    <row r="139" spans="1:8" x14ac:dyDescent="0.3">
      <c r="A139" s="2" t="s">
        <v>94</v>
      </c>
      <c r="B139" s="2" t="s">
        <v>13</v>
      </c>
      <c r="C139" s="2">
        <v>510</v>
      </c>
      <c r="D139" s="11" t="str">
        <f t="shared" ref="D139:D157" si="3">LEFT(B139,3)</f>
        <v>Wat</v>
      </c>
      <c r="E139" s="11"/>
      <c r="F139" s="11" t="str">
        <f t="shared" ref="F139:F157" si="4">RIGHT(A139,2)</f>
        <v>th</v>
      </c>
      <c r="G139" s="11"/>
    </row>
    <row r="140" spans="1:8" x14ac:dyDescent="0.3">
      <c r="A140" s="2" t="s">
        <v>95</v>
      </c>
      <c r="B140" s="2" t="s">
        <v>11</v>
      </c>
      <c r="C140" s="2">
        <v>490</v>
      </c>
      <c r="D140" s="11" t="str">
        <f t="shared" si="3"/>
        <v>Gra</v>
      </c>
      <c r="E140" s="11"/>
      <c r="F140" s="11" t="str">
        <f t="shared" si="4"/>
        <v>el</v>
      </c>
      <c r="G140" s="11"/>
    </row>
    <row r="141" spans="1:8" x14ac:dyDescent="0.3">
      <c r="A141" s="2" t="s">
        <v>96</v>
      </c>
      <c r="B141" s="2" t="s">
        <v>13</v>
      </c>
      <c r="C141" s="2">
        <v>335</v>
      </c>
      <c r="D141" s="11" t="str">
        <f t="shared" si="3"/>
        <v>Wat</v>
      </c>
      <c r="E141" s="11"/>
      <c r="F141" s="11" t="str">
        <f t="shared" si="4"/>
        <v>ol</v>
      </c>
      <c r="G141" s="11"/>
    </row>
    <row r="142" spans="1:8" x14ac:dyDescent="0.3">
      <c r="A142" s="2" t="s">
        <v>97</v>
      </c>
      <c r="B142" s="2" t="s">
        <v>54</v>
      </c>
      <c r="C142" s="2">
        <v>465</v>
      </c>
      <c r="D142" s="11" t="str">
        <f t="shared" si="3"/>
        <v>Ele</v>
      </c>
      <c r="E142" s="11"/>
      <c r="F142" s="11" t="str">
        <f t="shared" si="4"/>
        <v>on</v>
      </c>
      <c r="G142" s="11"/>
    </row>
    <row r="143" spans="1:8" x14ac:dyDescent="0.3">
      <c r="A143" s="2" t="s">
        <v>98</v>
      </c>
      <c r="B143" s="2" t="s">
        <v>13</v>
      </c>
      <c r="C143" s="2">
        <v>475</v>
      </c>
      <c r="D143" s="11" t="str">
        <f t="shared" si="3"/>
        <v>Wat</v>
      </c>
      <c r="E143" s="11"/>
      <c r="F143" s="11" t="str">
        <f t="shared" si="4"/>
        <v>ng</v>
      </c>
      <c r="G143" s="11"/>
    </row>
    <row r="144" spans="1:8" x14ac:dyDescent="0.3">
      <c r="A144" s="2" t="s">
        <v>99</v>
      </c>
      <c r="B144" s="2" t="s">
        <v>13</v>
      </c>
      <c r="C144" s="2">
        <v>525</v>
      </c>
      <c r="D144" s="11" t="str">
        <f t="shared" si="3"/>
        <v>Wat</v>
      </c>
      <c r="E144" s="11"/>
      <c r="F144" s="11" t="str">
        <f t="shared" si="4"/>
        <v>er</v>
      </c>
      <c r="G144" s="11"/>
    </row>
    <row r="145" spans="1:9" x14ac:dyDescent="0.3">
      <c r="A145" s="2" t="s">
        <v>100</v>
      </c>
      <c r="B145" s="2" t="s">
        <v>58</v>
      </c>
      <c r="C145" s="2">
        <v>385</v>
      </c>
      <c r="D145" s="11" t="str">
        <f t="shared" si="3"/>
        <v>Roc</v>
      </c>
      <c r="E145" s="11"/>
      <c r="F145" s="11" t="str">
        <f t="shared" si="4"/>
        <v>ix</v>
      </c>
      <c r="G145" s="11"/>
    </row>
    <row r="146" spans="1:9" x14ac:dyDescent="0.3">
      <c r="A146" s="2" t="s">
        <v>101</v>
      </c>
      <c r="B146" s="2" t="s">
        <v>60</v>
      </c>
      <c r="C146" s="2">
        <v>420</v>
      </c>
      <c r="D146" s="11" t="str">
        <f t="shared" si="3"/>
        <v>Dra</v>
      </c>
      <c r="E146" s="11"/>
      <c r="F146" s="11" t="str">
        <f t="shared" si="4"/>
        <v>ir</v>
      </c>
      <c r="G146" s="11"/>
    </row>
    <row r="147" spans="1:9" x14ac:dyDescent="0.3">
      <c r="A147" s="2" t="s">
        <v>102</v>
      </c>
      <c r="B147" s="2" t="s">
        <v>62</v>
      </c>
      <c r="C147" s="2">
        <v>349</v>
      </c>
      <c r="D147" s="11" t="str">
        <f t="shared" si="3"/>
        <v>Nor</v>
      </c>
      <c r="E147" s="11"/>
      <c r="F147" s="11" t="str">
        <f t="shared" si="4"/>
        <v>to</v>
      </c>
      <c r="G147" s="11"/>
    </row>
    <row r="148" spans="1:9" x14ac:dyDescent="0.3">
      <c r="A148" s="2" t="s">
        <v>103</v>
      </c>
      <c r="B148" s="2" t="s">
        <v>62</v>
      </c>
      <c r="C148" s="2">
        <v>253</v>
      </c>
      <c r="D148" s="11" t="str">
        <f t="shared" si="3"/>
        <v>Nor</v>
      </c>
      <c r="E148" s="11"/>
      <c r="F148" s="11" t="str">
        <f t="shared" si="4"/>
        <v>ta</v>
      </c>
      <c r="G148" s="11"/>
    </row>
    <row r="149" spans="1:9" x14ac:dyDescent="0.3">
      <c r="A149" s="2" t="s">
        <v>104</v>
      </c>
      <c r="B149" s="2" t="s">
        <v>65</v>
      </c>
      <c r="C149" s="2">
        <v>395</v>
      </c>
      <c r="D149" s="11" t="str">
        <f t="shared" si="3"/>
        <v>Bug</v>
      </c>
      <c r="E149" s="11"/>
      <c r="F149" s="11" t="str">
        <f t="shared" si="4"/>
        <v>ll</v>
      </c>
      <c r="G149" s="11"/>
    </row>
    <row r="150" spans="1:9" x14ac:dyDescent="0.3">
      <c r="A150" s="2" t="s">
        <v>105</v>
      </c>
      <c r="B150" s="2" t="s">
        <v>62</v>
      </c>
      <c r="C150" s="2">
        <v>310</v>
      </c>
      <c r="D150" s="11" t="str">
        <f t="shared" si="3"/>
        <v>Nor</v>
      </c>
      <c r="E150" s="11"/>
      <c r="F150" s="11" t="str">
        <f t="shared" si="4"/>
        <v>uo</v>
      </c>
      <c r="G150" s="11"/>
    </row>
    <row r="151" spans="1:9" x14ac:dyDescent="0.3">
      <c r="A151" s="2" t="s">
        <v>106</v>
      </c>
      <c r="B151" s="2" t="s">
        <v>13</v>
      </c>
      <c r="C151" s="2">
        <v>475</v>
      </c>
      <c r="D151" s="11" t="str">
        <f t="shared" si="3"/>
        <v>Wat</v>
      </c>
      <c r="E151" s="11"/>
      <c r="F151" s="11" t="str">
        <f t="shared" si="4"/>
        <v>er</v>
      </c>
      <c r="G151" s="11"/>
    </row>
    <row r="152" spans="1:9" x14ac:dyDescent="0.3">
      <c r="A152" s="2" t="s">
        <v>107</v>
      </c>
      <c r="B152" s="2" t="s">
        <v>69</v>
      </c>
      <c r="C152" s="2">
        <v>505</v>
      </c>
      <c r="D152" s="11" t="str">
        <f t="shared" si="3"/>
        <v>Poi</v>
      </c>
      <c r="E152" s="11"/>
      <c r="F152" s="11" t="str">
        <f t="shared" si="4"/>
        <v>en</v>
      </c>
      <c r="G152" s="11"/>
    </row>
    <row r="153" spans="1:9" x14ac:dyDescent="0.3">
      <c r="A153" s="2" t="s">
        <v>108</v>
      </c>
      <c r="B153" s="2" t="s">
        <v>49</v>
      </c>
      <c r="C153" s="2">
        <v>455</v>
      </c>
      <c r="D153" s="11" t="str">
        <f t="shared" si="3"/>
        <v>Fig</v>
      </c>
      <c r="E153" s="11"/>
      <c r="F153" s="11" t="str">
        <f t="shared" si="4"/>
        <v>an</v>
      </c>
      <c r="G153" s="11"/>
    </row>
    <row r="154" spans="1:9" x14ac:dyDescent="0.3">
      <c r="A154" s="2" t="s">
        <v>109</v>
      </c>
      <c r="B154" s="2" t="s">
        <v>12</v>
      </c>
      <c r="C154" s="2">
        <v>405</v>
      </c>
      <c r="D154" s="11" t="str">
        <f t="shared" si="3"/>
        <v>Fir</v>
      </c>
      <c r="E154" s="11"/>
      <c r="F154" s="11" t="str">
        <f t="shared" si="4"/>
        <v>on</v>
      </c>
      <c r="G154" s="11"/>
    </row>
    <row r="155" spans="1:9" x14ac:dyDescent="0.3">
      <c r="A155" s="2" t="s">
        <v>110</v>
      </c>
      <c r="B155" s="2" t="s">
        <v>69</v>
      </c>
      <c r="C155" s="2">
        <v>438</v>
      </c>
      <c r="D155" s="11" t="str">
        <f t="shared" si="3"/>
        <v>Poi</v>
      </c>
      <c r="E155" s="11"/>
      <c r="F155" s="11" t="str">
        <f t="shared" si="4"/>
        <v>ok</v>
      </c>
      <c r="G155" s="11"/>
    </row>
    <row r="156" spans="1:9" x14ac:dyDescent="0.3">
      <c r="A156" s="2" t="s">
        <v>111</v>
      </c>
      <c r="B156" s="2" t="s">
        <v>73</v>
      </c>
      <c r="C156" s="2">
        <v>310</v>
      </c>
      <c r="D156" s="11" t="str">
        <f t="shared" si="3"/>
        <v>Gho</v>
      </c>
      <c r="E156" s="11"/>
      <c r="F156" s="11" t="str">
        <f t="shared" si="4"/>
        <v>ly</v>
      </c>
      <c r="G156" s="11"/>
    </row>
    <row r="157" spans="1:9" x14ac:dyDescent="0.3">
      <c r="A157" s="2" t="s">
        <v>112</v>
      </c>
      <c r="B157" s="2" t="s">
        <v>13</v>
      </c>
      <c r="C157" s="2">
        <v>200</v>
      </c>
      <c r="D157" s="11" t="str">
        <f t="shared" si="3"/>
        <v>Wat</v>
      </c>
      <c r="E157" s="11"/>
      <c r="F157" s="11" t="str">
        <f t="shared" si="4"/>
        <v>rp</v>
      </c>
      <c r="G157" s="11"/>
    </row>
    <row r="158" spans="1:9" x14ac:dyDescent="0.3">
      <c r="A158" t="s">
        <v>113</v>
      </c>
    </row>
    <row r="160" spans="1:9" x14ac:dyDescent="0.3">
      <c r="A160" s="8" t="s">
        <v>142</v>
      </c>
      <c r="B160" s="9"/>
      <c r="C160" s="9"/>
      <c r="D160" s="9"/>
      <c r="E160" s="9"/>
      <c r="F160" s="9"/>
      <c r="G160" s="9"/>
      <c r="H160" s="9"/>
      <c r="I160" s="9"/>
    </row>
    <row r="162" spans="1:6" x14ac:dyDescent="0.3">
      <c r="A162" s="1" t="s">
        <v>92</v>
      </c>
      <c r="B162" s="1" t="s">
        <v>46</v>
      </c>
      <c r="C162" s="1" t="s">
        <v>47</v>
      </c>
      <c r="D162" s="10" t="s">
        <v>182</v>
      </c>
      <c r="E162" s="10"/>
      <c r="F162" s="10"/>
    </row>
    <row r="163" spans="1:6" x14ac:dyDescent="0.3">
      <c r="A163" s="2" t="s">
        <v>143</v>
      </c>
      <c r="B163" s="2" t="s">
        <v>144</v>
      </c>
      <c r="C163" s="2">
        <v>305</v>
      </c>
      <c r="D163" s="11" t="str">
        <f>LOWER(A163)</f>
        <v xml:space="preserve">    mankey</v>
      </c>
      <c r="E163" s="11"/>
      <c r="F163" s="11"/>
    </row>
    <row r="164" spans="1:6" x14ac:dyDescent="0.3">
      <c r="A164" s="2" t="s">
        <v>145</v>
      </c>
      <c r="B164" s="2" t="s">
        <v>146</v>
      </c>
      <c r="C164" s="2">
        <v>510</v>
      </c>
      <c r="D164" s="11" t="str">
        <f t="shared" ref="D164:D182" si="5">LOWER(A164)</f>
        <v xml:space="preserve">    poliwrath</v>
      </c>
      <c r="E164" s="11"/>
      <c r="F164" s="11"/>
    </row>
    <row r="165" spans="1:6" x14ac:dyDescent="0.3">
      <c r="A165" s="2" t="s">
        <v>147</v>
      </c>
      <c r="B165" s="2" t="s">
        <v>148</v>
      </c>
      <c r="C165" s="2">
        <v>490</v>
      </c>
      <c r="D165" s="11" t="str">
        <f t="shared" si="5"/>
        <v xml:space="preserve">    victreebel</v>
      </c>
      <c r="E165" s="11"/>
      <c r="F165" s="11"/>
    </row>
    <row r="166" spans="1:6" x14ac:dyDescent="0.3">
      <c r="A166" s="2" t="s">
        <v>149</v>
      </c>
      <c r="B166" s="2" t="s">
        <v>150</v>
      </c>
      <c r="C166" s="2">
        <v>335</v>
      </c>
      <c r="D166" s="11" t="str">
        <f t="shared" si="5"/>
        <v xml:space="preserve">    tentacool</v>
      </c>
      <c r="E166" s="11"/>
      <c r="F166" s="11"/>
    </row>
    <row r="167" spans="1:6" x14ac:dyDescent="0.3">
      <c r="A167" s="2" t="s">
        <v>151</v>
      </c>
      <c r="B167" s="2" t="s">
        <v>152</v>
      </c>
      <c r="C167" s="2">
        <v>465</v>
      </c>
      <c r="D167" s="11" t="str">
        <f t="shared" si="5"/>
        <v xml:space="preserve">    magneton</v>
      </c>
      <c r="E167" s="11"/>
      <c r="F167" s="11"/>
    </row>
    <row r="168" spans="1:6" x14ac:dyDescent="0.3">
      <c r="A168" s="2" t="s">
        <v>153</v>
      </c>
      <c r="B168" s="2" t="s">
        <v>154</v>
      </c>
      <c r="C168" s="2">
        <v>475</v>
      </c>
      <c r="D168" s="11" t="str">
        <f t="shared" si="5"/>
        <v xml:space="preserve">    dewgong</v>
      </c>
      <c r="E168" s="11"/>
      <c r="F168" s="11"/>
    </row>
    <row r="169" spans="1:6" x14ac:dyDescent="0.3">
      <c r="A169" s="2" t="s">
        <v>155</v>
      </c>
      <c r="B169" s="2" t="s">
        <v>156</v>
      </c>
      <c r="C169" s="2">
        <v>525</v>
      </c>
      <c r="D169" s="11" t="str">
        <f t="shared" si="5"/>
        <v xml:space="preserve">    cloyster</v>
      </c>
      <c r="E169" s="11"/>
      <c r="F169" s="11"/>
    </row>
    <row r="170" spans="1:6" x14ac:dyDescent="0.3">
      <c r="A170" s="2" t="s">
        <v>157</v>
      </c>
      <c r="B170" s="2" t="s">
        <v>158</v>
      </c>
      <c r="C170" s="2">
        <v>385</v>
      </c>
      <c r="D170" s="11" t="str">
        <f t="shared" si="5"/>
        <v xml:space="preserve">    onix</v>
      </c>
      <c r="E170" s="11"/>
      <c r="F170" s="11"/>
    </row>
    <row r="171" spans="1:6" x14ac:dyDescent="0.3">
      <c r="A171" s="2" t="s">
        <v>159</v>
      </c>
      <c r="B171" s="2" t="s">
        <v>160</v>
      </c>
      <c r="C171" s="2">
        <v>420</v>
      </c>
      <c r="D171" s="11" t="str">
        <f t="shared" si="5"/>
        <v xml:space="preserve">    dragonair</v>
      </c>
      <c r="E171" s="11"/>
      <c r="F171" s="11"/>
    </row>
    <row r="172" spans="1:6" x14ac:dyDescent="0.3">
      <c r="A172" s="2" t="s">
        <v>161</v>
      </c>
      <c r="B172" s="2" t="s">
        <v>162</v>
      </c>
      <c r="C172" s="2">
        <v>349</v>
      </c>
      <c r="D172" s="11" t="str">
        <f t="shared" si="5"/>
        <v xml:space="preserve">    pidgeotto</v>
      </c>
      <c r="E172" s="11"/>
      <c r="F172" s="11"/>
    </row>
    <row r="173" spans="1:6" x14ac:dyDescent="0.3">
      <c r="A173" s="2" t="s">
        <v>163</v>
      </c>
      <c r="B173" s="2" t="s">
        <v>164</v>
      </c>
      <c r="C173" s="2">
        <v>253</v>
      </c>
      <c r="D173" s="11" t="str">
        <f t="shared" si="5"/>
        <v xml:space="preserve">    rattata</v>
      </c>
      <c r="E173" s="11"/>
      <c r="F173" s="11"/>
    </row>
    <row r="174" spans="1:6" x14ac:dyDescent="0.3">
      <c r="A174" s="2" t="s">
        <v>165</v>
      </c>
      <c r="B174" s="2" t="s">
        <v>166</v>
      </c>
      <c r="C174" s="2">
        <v>395</v>
      </c>
      <c r="D174" s="11" t="str">
        <f t="shared" si="5"/>
        <v xml:space="preserve">    beedrill</v>
      </c>
      <c r="E174" s="11"/>
      <c r="F174" s="11"/>
    </row>
    <row r="175" spans="1:6" x14ac:dyDescent="0.3">
      <c r="A175" s="2" t="s">
        <v>167</v>
      </c>
      <c r="B175" s="2" t="s">
        <v>168</v>
      </c>
      <c r="C175" s="2">
        <v>310</v>
      </c>
      <c r="D175" s="11" t="str">
        <f t="shared" si="5"/>
        <v xml:space="preserve">    doduo</v>
      </c>
      <c r="E175" s="11"/>
      <c r="F175" s="11"/>
    </row>
    <row r="176" spans="1:6" x14ac:dyDescent="0.3">
      <c r="A176" s="2" t="s">
        <v>169</v>
      </c>
      <c r="B176" s="2" t="s">
        <v>150</v>
      </c>
      <c r="C176" s="2">
        <v>475</v>
      </c>
      <c r="D176" s="11" t="str">
        <f t="shared" si="5"/>
        <v xml:space="preserve">    kingler</v>
      </c>
      <c r="E176" s="11"/>
      <c r="F176" s="11"/>
    </row>
    <row r="177" spans="1:8" x14ac:dyDescent="0.3">
      <c r="A177" s="2" t="s">
        <v>170</v>
      </c>
      <c r="B177" s="2" t="s">
        <v>171</v>
      </c>
      <c r="C177" s="2">
        <v>505</v>
      </c>
      <c r="D177" s="11" t="str">
        <f t="shared" si="5"/>
        <v xml:space="preserve">    nidoqueen</v>
      </c>
      <c r="E177" s="11"/>
      <c r="F177" s="11"/>
    </row>
    <row r="178" spans="1:8" x14ac:dyDescent="0.3">
      <c r="A178" s="2" t="s">
        <v>172</v>
      </c>
      <c r="B178" s="2" t="s">
        <v>173</v>
      </c>
      <c r="C178" s="2">
        <v>455</v>
      </c>
      <c r="D178" s="11" t="str">
        <f t="shared" si="5"/>
        <v xml:space="preserve">    hitmonchan</v>
      </c>
      <c r="E178" s="11"/>
      <c r="F178" s="11"/>
    </row>
    <row r="179" spans="1:8" x14ac:dyDescent="0.3">
      <c r="A179" s="2" t="s">
        <v>174</v>
      </c>
      <c r="B179" s="2" t="s">
        <v>175</v>
      </c>
      <c r="C179" s="2">
        <v>405</v>
      </c>
      <c r="D179" s="11" t="str">
        <f t="shared" si="5"/>
        <v xml:space="preserve">    charmeleon</v>
      </c>
      <c r="E179" s="11"/>
      <c r="F179" s="11"/>
    </row>
    <row r="180" spans="1:8" x14ac:dyDescent="0.3">
      <c r="A180" s="2" t="s">
        <v>176</v>
      </c>
      <c r="B180" s="2" t="s">
        <v>177</v>
      </c>
      <c r="C180" s="2">
        <v>438</v>
      </c>
      <c r="D180" s="11" t="str">
        <f t="shared" si="5"/>
        <v xml:space="preserve">    arbok</v>
      </c>
      <c r="E180" s="11"/>
      <c r="F180" s="11"/>
    </row>
    <row r="181" spans="1:8" x14ac:dyDescent="0.3">
      <c r="A181" s="2" t="s">
        <v>178</v>
      </c>
      <c r="B181" s="2" t="s">
        <v>179</v>
      </c>
      <c r="C181" s="2">
        <v>310</v>
      </c>
      <c r="D181" s="11" t="str">
        <f t="shared" si="5"/>
        <v xml:space="preserve">    gastly</v>
      </c>
      <c r="E181" s="11"/>
      <c r="F181" s="11"/>
    </row>
    <row r="182" spans="1:8" x14ac:dyDescent="0.3">
      <c r="A182" s="2" t="s">
        <v>180</v>
      </c>
      <c r="B182" s="2" t="s">
        <v>181</v>
      </c>
      <c r="C182" s="2">
        <v>200</v>
      </c>
      <c r="D182" s="11" t="str">
        <f t="shared" si="5"/>
        <v xml:space="preserve">    magikarp</v>
      </c>
      <c r="E182" s="11"/>
      <c r="F182" s="11"/>
    </row>
    <row r="183" spans="1:8" x14ac:dyDescent="0.3">
      <c r="A183" t="s">
        <v>113</v>
      </c>
    </row>
    <row r="185" spans="1:8" x14ac:dyDescent="0.3">
      <c r="A185" s="8" t="s">
        <v>187</v>
      </c>
      <c r="B185" s="9"/>
      <c r="C185" s="9"/>
      <c r="D185" s="9"/>
      <c r="E185" s="9"/>
      <c r="F185" s="9"/>
      <c r="G185" s="9"/>
      <c r="H185" s="9"/>
    </row>
    <row r="187" spans="1:8" x14ac:dyDescent="0.3">
      <c r="A187" s="1" t="s">
        <v>92</v>
      </c>
      <c r="B187" s="1" t="s">
        <v>46</v>
      </c>
      <c r="C187" s="1" t="s">
        <v>47</v>
      </c>
    </row>
    <row r="188" spans="1:8" x14ac:dyDescent="0.3">
      <c r="A188" s="2" t="s">
        <v>93</v>
      </c>
      <c r="B188" s="2" t="s">
        <v>49</v>
      </c>
      <c r="C188" s="2">
        <v>305</v>
      </c>
    </row>
    <row r="189" spans="1:8" x14ac:dyDescent="0.3">
      <c r="A189" s="2" t="s">
        <v>94</v>
      </c>
      <c r="B189" s="2" t="s">
        <v>13</v>
      </c>
      <c r="C189" s="2">
        <v>510</v>
      </c>
    </row>
    <row r="190" spans="1:8" x14ac:dyDescent="0.3">
      <c r="A190" s="2" t="s">
        <v>95</v>
      </c>
      <c r="B190" s="2" t="s">
        <v>11</v>
      </c>
      <c r="C190" s="2">
        <v>490</v>
      </c>
    </row>
    <row r="191" spans="1:8" x14ac:dyDescent="0.3">
      <c r="A191" s="2" t="s">
        <v>96</v>
      </c>
      <c r="B191" s="2" t="s">
        <v>13</v>
      </c>
      <c r="C191" s="2">
        <v>335</v>
      </c>
    </row>
    <row r="192" spans="1:8" x14ac:dyDescent="0.3">
      <c r="A192" s="2" t="s">
        <v>97</v>
      </c>
      <c r="B192" s="2" t="s">
        <v>54</v>
      </c>
      <c r="C192" s="2">
        <v>465</v>
      </c>
      <c r="F192" s="2" t="s">
        <v>183</v>
      </c>
      <c r="G192" s="2">
        <f>MAX(C188:C207)</f>
        <v>525</v>
      </c>
    </row>
    <row r="193" spans="1:7" x14ac:dyDescent="0.3">
      <c r="A193" s="2" t="s">
        <v>98</v>
      </c>
      <c r="B193" s="2" t="s">
        <v>13</v>
      </c>
      <c r="C193" s="2">
        <v>475</v>
      </c>
      <c r="F193" s="2" t="s">
        <v>188</v>
      </c>
      <c r="G193" s="2">
        <f>MIN(C188:C207)</f>
        <v>200</v>
      </c>
    </row>
    <row r="194" spans="1:7" x14ac:dyDescent="0.3">
      <c r="A194" s="2" t="s">
        <v>99</v>
      </c>
      <c r="B194" s="2" t="s">
        <v>13</v>
      </c>
      <c r="C194" s="2">
        <v>525</v>
      </c>
    </row>
    <row r="195" spans="1:7" x14ac:dyDescent="0.3">
      <c r="A195" s="2" t="s">
        <v>100</v>
      </c>
      <c r="B195" s="2" t="s">
        <v>58</v>
      </c>
      <c r="C195" s="2">
        <v>385</v>
      </c>
    </row>
    <row r="196" spans="1:7" x14ac:dyDescent="0.3">
      <c r="A196" s="2" t="s">
        <v>101</v>
      </c>
      <c r="B196" s="2" t="s">
        <v>60</v>
      </c>
      <c r="C196" s="2">
        <v>420</v>
      </c>
    </row>
    <row r="197" spans="1:7" x14ac:dyDescent="0.3">
      <c r="A197" s="2" t="s">
        <v>102</v>
      </c>
      <c r="B197" s="2" t="s">
        <v>62</v>
      </c>
      <c r="C197" s="2">
        <v>349</v>
      </c>
    </row>
    <row r="198" spans="1:7" x14ac:dyDescent="0.3">
      <c r="A198" s="2" t="s">
        <v>103</v>
      </c>
      <c r="B198" s="2" t="s">
        <v>62</v>
      </c>
      <c r="C198" s="2">
        <v>253</v>
      </c>
    </row>
    <row r="199" spans="1:7" x14ac:dyDescent="0.3">
      <c r="A199" s="2" t="s">
        <v>104</v>
      </c>
      <c r="B199" s="2" t="s">
        <v>65</v>
      </c>
      <c r="C199" s="2">
        <v>395</v>
      </c>
    </row>
    <row r="200" spans="1:7" x14ac:dyDescent="0.3">
      <c r="A200" s="2" t="s">
        <v>105</v>
      </c>
      <c r="B200" s="2" t="s">
        <v>62</v>
      </c>
      <c r="C200" s="2">
        <v>310</v>
      </c>
    </row>
    <row r="201" spans="1:7" x14ac:dyDescent="0.3">
      <c r="A201" s="2" t="s">
        <v>106</v>
      </c>
      <c r="B201" s="2" t="s">
        <v>13</v>
      </c>
      <c r="C201" s="2">
        <v>475</v>
      </c>
    </row>
    <row r="202" spans="1:7" x14ac:dyDescent="0.3">
      <c r="A202" s="2" t="s">
        <v>107</v>
      </c>
      <c r="B202" s="2" t="s">
        <v>69</v>
      </c>
      <c r="C202" s="2">
        <v>505</v>
      </c>
    </row>
    <row r="203" spans="1:7" x14ac:dyDescent="0.3">
      <c r="A203" s="2" t="s">
        <v>108</v>
      </c>
      <c r="B203" s="2" t="s">
        <v>49</v>
      </c>
      <c r="C203" s="2">
        <v>455</v>
      </c>
    </row>
    <row r="204" spans="1:7" x14ac:dyDescent="0.3">
      <c r="A204" s="2" t="s">
        <v>109</v>
      </c>
      <c r="B204" s="2" t="s">
        <v>12</v>
      </c>
      <c r="C204" s="2">
        <v>405</v>
      </c>
    </row>
    <row r="205" spans="1:7" x14ac:dyDescent="0.3">
      <c r="A205" s="2" t="s">
        <v>110</v>
      </c>
      <c r="B205" s="2" t="s">
        <v>69</v>
      </c>
      <c r="C205" s="2">
        <v>438</v>
      </c>
    </row>
    <row r="206" spans="1:7" x14ac:dyDescent="0.3">
      <c r="A206" s="2" t="s">
        <v>111</v>
      </c>
      <c r="B206" s="2" t="s">
        <v>73</v>
      </c>
      <c r="C206" s="2">
        <v>310</v>
      </c>
    </row>
    <row r="207" spans="1:7" x14ac:dyDescent="0.3">
      <c r="A207" s="2" t="s">
        <v>112</v>
      </c>
      <c r="B207" s="2" t="s">
        <v>13</v>
      </c>
      <c r="C207" s="2">
        <v>200</v>
      </c>
    </row>
    <row r="208" spans="1:7" x14ac:dyDescent="0.3">
      <c r="A208" t="s">
        <v>113</v>
      </c>
    </row>
    <row r="210" spans="1:9" x14ac:dyDescent="0.3">
      <c r="A210" s="8" t="s">
        <v>184</v>
      </c>
      <c r="B210" s="9"/>
      <c r="C210" s="9"/>
      <c r="D210" s="9"/>
      <c r="E210" s="9"/>
      <c r="F210" s="9"/>
      <c r="G210" s="9"/>
      <c r="H210" s="9"/>
    </row>
    <row r="212" spans="1:9" x14ac:dyDescent="0.3">
      <c r="I212" s="2" t="s">
        <v>186</v>
      </c>
    </row>
    <row r="213" spans="1:9" x14ac:dyDescent="0.3">
      <c r="A213" s="2" t="s">
        <v>185</v>
      </c>
      <c r="B213" s="2">
        <v>1</v>
      </c>
      <c r="C213" s="2">
        <v>1</v>
      </c>
      <c r="D213" s="2">
        <v>2</v>
      </c>
      <c r="E213" s="2">
        <v>2</v>
      </c>
      <c r="F213" s="2">
        <v>3</v>
      </c>
      <c r="G213" s="2">
        <v>4</v>
      </c>
      <c r="H213" s="2">
        <v>4</v>
      </c>
      <c r="I213" s="2">
        <f>MEDIAN(B213:H213)</f>
        <v>2</v>
      </c>
    </row>
    <row r="216" spans="1:9" x14ac:dyDescent="0.3">
      <c r="A216" s="8" t="s">
        <v>189</v>
      </c>
      <c r="B216" s="9"/>
      <c r="C216" s="9"/>
      <c r="D216" s="9"/>
      <c r="E216" s="9"/>
      <c r="F216" s="9"/>
      <c r="G216" s="9"/>
      <c r="H216" s="9"/>
      <c r="I216" s="9"/>
    </row>
    <row r="218" spans="1:9" x14ac:dyDescent="0.3">
      <c r="A218" s="1" t="s">
        <v>190</v>
      </c>
      <c r="B218" s="1" t="s">
        <v>26</v>
      </c>
      <c r="C218" s="1" t="s">
        <v>191</v>
      </c>
      <c r="D218" s="1" t="s">
        <v>192</v>
      </c>
      <c r="E218" s="1" t="s">
        <v>193</v>
      </c>
    </row>
    <row r="219" spans="1:9" x14ac:dyDescent="0.3">
      <c r="A219" s="2" t="s">
        <v>194</v>
      </c>
      <c r="B219" s="2">
        <v>10</v>
      </c>
      <c r="C219" s="2">
        <v>4</v>
      </c>
      <c r="D219" s="2">
        <v>1</v>
      </c>
      <c r="E219" s="2">
        <v>1</v>
      </c>
    </row>
    <row r="220" spans="1:9" x14ac:dyDescent="0.3">
      <c r="A220" s="2" t="s">
        <v>195</v>
      </c>
      <c r="B220" s="2">
        <v>12</v>
      </c>
      <c r="C220" s="2">
        <v>3</v>
      </c>
      <c r="D220" s="2">
        <v>0</v>
      </c>
      <c r="E220" s="2">
        <v>1</v>
      </c>
    </row>
    <row r="221" spans="1:9" x14ac:dyDescent="0.3">
      <c r="A221" s="2" t="s">
        <v>196</v>
      </c>
      <c r="B221" s="2">
        <v>15</v>
      </c>
      <c r="C221" s="2">
        <v>1</v>
      </c>
      <c r="D221" s="2">
        <v>3</v>
      </c>
      <c r="E221" s="2">
        <v>1</v>
      </c>
    </row>
    <row r="222" spans="1:9" x14ac:dyDescent="0.3">
      <c r="A222" s="2" t="s">
        <v>197</v>
      </c>
      <c r="B222" s="2">
        <v>4</v>
      </c>
      <c r="C222" s="2">
        <v>2</v>
      </c>
      <c r="D222" s="2">
        <v>6</v>
      </c>
      <c r="E222" s="2">
        <v>0</v>
      </c>
    </row>
    <row r="223" spans="1:9" x14ac:dyDescent="0.3">
      <c r="A223" s="2" t="s">
        <v>198</v>
      </c>
      <c r="B223" s="2">
        <v>10</v>
      </c>
      <c r="C223" s="2">
        <v>4</v>
      </c>
      <c r="D223" s="2">
        <v>1</v>
      </c>
      <c r="E223" s="2">
        <v>1</v>
      </c>
    </row>
    <row r="224" spans="1:9" x14ac:dyDescent="0.3">
      <c r="A224" s="2" t="s">
        <v>199</v>
      </c>
      <c r="B224" s="2">
        <v>9</v>
      </c>
      <c r="C224" s="2">
        <v>2</v>
      </c>
      <c r="D224" s="2">
        <v>1</v>
      </c>
      <c r="E224" s="2">
        <v>0</v>
      </c>
    </row>
    <row r="227" spans="1:11" x14ac:dyDescent="0.3">
      <c r="A227" s="16" t="s">
        <v>200</v>
      </c>
      <c r="B227" s="17"/>
      <c r="C227" s="2">
        <f>_xlfn.MODE.SNGL(B219:E224)</f>
        <v>1</v>
      </c>
    </row>
    <row r="228" spans="1:11" x14ac:dyDescent="0.3">
      <c r="A228" s="16" t="s">
        <v>201</v>
      </c>
      <c r="B228" s="17"/>
      <c r="C228" s="2" cm="1">
        <f t="array" ref="C228">_xlfn.MODE.MULT(B219:E224)</f>
        <v>1</v>
      </c>
    </row>
    <row r="231" spans="1:11" x14ac:dyDescent="0.3">
      <c r="A231" s="8" t="s">
        <v>202</v>
      </c>
      <c r="B231" s="9"/>
      <c r="C231" s="9"/>
      <c r="D231" s="9"/>
      <c r="E231" s="9"/>
      <c r="F231" s="9"/>
      <c r="G231" s="9"/>
      <c r="H231" s="9"/>
    </row>
    <row r="233" spans="1:11" x14ac:dyDescent="0.3">
      <c r="A233" s="1" t="s">
        <v>203</v>
      </c>
      <c r="B233" s="1">
        <v>1</v>
      </c>
      <c r="C233" s="1">
        <v>2</v>
      </c>
      <c r="D233" s="1">
        <v>3</v>
      </c>
      <c r="E233" s="1">
        <v>4</v>
      </c>
      <c r="F233" s="1">
        <v>5</v>
      </c>
      <c r="G233" s="1">
        <v>6</v>
      </c>
      <c r="H233" s="1">
        <v>7</v>
      </c>
      <c r="I233" s="1">
        <v>8</v>
      </c>
      <c r="J233" s="1">
        <v>9</v>
      </c>
      <c r="K233" s="1">
        <v>10</v>
      </c>
    </row>
    <row r="234" spans="1:11" x14ac:dyDescent="0.3">
      <c r="A234" s="1" t="s">
        <v>204</v>
      </c>
      <c r="B234" s="2">
        <v>10</v>
      </c>
      <c r="C234" s="2">
        <v>12</v>
      </c>
      <c r="D234" s="2">
        <v>16</v>
      </c>
      <c r="E234" s="2">
        <v>20</v>
      </c>
      <c r="F234" s="2">
        <v>28</v>
      </c>
      <c r="G234" s="2">
        <v>50</v>
      </c>
      <c r="H234" s="2">
        <v>80</v>
      </c>
      <c r="I234" s="2">
        <v>140</v>
      </c>
      <c r="J234" s="2">
        <v>200</v>
      </c>
      <c r="K234" s="2">
        <v>250</v>
      </c>
    </row>
    <row r="237" spans="1:11" x14ac:dyDescent="0.3">
      <c r="A237" s="1" t="s">
        <v>205</v>
      </c>
      <c r="B237" s="6">
        <v>0.3</v>
      </c>
      <c r="D237" s="1" t="s">
        <v>206</v>
      </c>
      <c r="E237" s="7">
        <f>NPV(B237,B234:K234)</f>
        <v>113.8844264428523</v>
      </c>
    </row>
    <row r="241" spans="1:9" x14ac:dyDescent="0.3">
      <c r="A241" s="8" t="s">
        <v>207</v>
      </c>
      <c r="B241" s="9"/>
      <c r="C241" s="9"/>
      <c r="D241" s="9"/>
      <c r="E241" s="9"/>
      <c r="F241" s="9"/>
      <c r="G241" s="9"/>
      <c r="H241" s="9"/>
    </row>
    <row r="242" spans="1:9" x14ac:dyDescent="0.3">
      <c r="A242" t="s">
        <v>113</v>
      </c>
    </row>
    <row r="243" spans="1:9" x14ac:dyDescent="0.3">
      <c r="A243" s="1" t="s">
        <v>92</v>
      </c>
      <c r="B243" s="1" t="s">
        <v>46</v>
      </c>
      <c r="C243" s="1" t="s">
        <v>208</v>
      </c>
      <c r="D243" s="10" t="s">
        <v>209</v>
      </c>
      <c r="E243" s="10"/>
      <c r="F243" s="10"/>
      <c r="G243" s="10"/>
    </row>
    <row r="244" spans="1:9" x14ac:dyDescent="0.3">
      <c r="A244" s="2" t="s">
        <v>131</v>
      </c>
      <c r="B244" s="2" t="s">
        <v>11</v>
      </c>
      <c r="C244" s="2">
        <v>49</v>
      </c>
      <c r="D244" s="11" t="b">
        <f>OR(B244="Water",C244&gt;60)</f>
        <v>0</v>
      </c>
      <c r="E244" s="11"/>
      <c r="F244" s="11"/>
      <c r="G244" s="11"/>
    </row>
    <row r="245" spans="1:9" x14ac:dyDescent="0.3">
      <c r="A245" s="2" t="s">
        <v>132</v>
      </c>
      <c r="B245" s="2" t="s">
        <v>11</v>
      </c>
      <c r="C245" s="2">
        <v>63</v>
      </c>
      <c r="D245" s="11" t="b">
        <f t="shared" ref="D245:D252" si="6">OR(B245="Water",C245&gt;60)</f>
        <v>1</v>
      </c>
      <c r="E245" s="11"/>
      <c r="F245" s="11"/>
      <c r="G245" s="11"/>
    </row>
    <row r="246" spans="1:9" x14ac:dyDescent="0.3">
      <c r="A246" s="2" t="s">
        <v>133</v>
      </c>
      <c r="B246" s="2" t="s">
        <v>11</v>
      </c>
      <c r="C246" s="2">
        <v>83</v>
      </c>
      <c r="D246" s="11" t="b">
        <f t="shared" si="6"/>
        <v>1</v>
      </c>
      <c r="E246" s="11"/>
      <c r="F246" s="11"/>
      <c r="G246" s="11"/>
    </row>
    <row r="247" spans="1:9" x14ac:dyDescent="0.3">
      <c r="A247" s="2" t="s">
        <v>134</v>
      </c>
      <c r="B247" s="2" t="s">
        <v>12</v>
      </c>
      <c r="C247" s="2">
        <v>43</v>
      </c>
      <c r="D247" s="11" t="b">
        <f t="shared" si="6"/>
        <v>0</v>
      </c>
      <c r="E247" s="11"/>
      <c r="F247" s="11"/>
      <c r="G247" s="11"/>
    </row>
    <row r="248" spans="1:9" x14ac:dyDescent="0.3">
      <c r="A248" s="2" t="s">
        <v>109</v>
      </c>
      <c r="B248" s="2" t="s">
        <v>12</v>
      </c>
      <c r="C248" s="2">
        <v>58</v>
      </c>
      <c r="D248" s="11" t="b">
        <f t="shared" si="6"/>
        <v>0</v>
      </c>
      <c r="E248" s="11"/>
      <c r="F248" s="11"/>
      <c r="G248" s="11"/>
    </row>
    <row r="249" spans="1:9" x14ac:dyDescent="0.3">
      <c r="A249" s="2" t="s">
        <v>135</v>
      </c>
      <c r="B249" s="2" t="s">
        <v>12</v>
      </c>
      <c r="C249" s="2">
        <v>78</v>
      </c>
      <c r="D249" s="11" t="b">
        <f t="shared" si="6"/>
        <v>1</v>
      </c>
      <c r="E249" s="11"/>
      <c r="F249" s="11"/>
      <c r="G249" s="11"/>
    </row>
    <row r="250" spans="1:9" x14ac:dyDescent="0.3">
      <c r="A250" s="2" t="s">
        <v>136</v>
      </c>
      <c r="B250" s="2" t="s">
        <v>13</v>
      </c>
      <c r="C250" s="2">
        <v>65</v>
      </c>
      <c r="D250" s="11" t="b">
        <f t="shared" si="6"/>
        <v>1</v>
      </c>
      <c r="E250" s="11"/>
      <c r="F250" s="11"/>
      <c r="G250" s="11"/>
    </row>
    <row r="251" spans="1:9" x14ac:dyDescent="0.3">
      <c r="A251" s="2" t="s">
        <v>137</v>
      </c>
      <c r="B251" s="2" t="s">
        <v>13</v>
      </c>
      <c r="C251" s="2">
        <v>80</v>
      </c>
      <c r="D251" s="11" t="b">
        <f t="shared" si="6"/>
        <v>1</v>
      </c>
      <c r="E251" s="11"/>
      <c r="F251" s="11"/>
      <c r="G251" s="11"/>
    </row>
    <row r="252" spans="1:9" x14ac:dyDescent="0.3">
      <c r="A252" s="2" t="s">
        <v>138</v>
      </c>
      <c r="B252" s="2" t="s">
        <v>13</v>
      </c>
      <c r="C252" s="2">
        <v>100</v>
      </c>
      <c r="D252" s="11" t="b">
        <f t="shared" si="6"/>
        <v>1</v>
      </c>
      <c r="E252" s="11"/>
      <c r="F252" s="11"/>
      <c r="G252" s="11"/>
    </row>
    <row r="253" spans="1:9" x14ac:dyDescent="0.3">
      <c r="A253" t="s">
        <v>113</v>
      </c>
    </row>
    <row r="255" spans="1:9" x14ac:dyDescent="0.3">
      <c r="A255" s="8" t="s">
        <v>210</v>
      </c>
      <c r="B255" s="9"/>
      <c r="C255" s="9"/>
      <c r="D255" s="9"/>
      <c r="E255" s="9"/>
      <c r="F255" s="9"/>
      <c r="G255" s="9"/>
      <c r="H255" s="9"/>
      <c r="I255" s="9"/>
    </row>
    <row r="257" spans="1:11" x14ac:dyDescent="0.3">
      <c r="A257" s="1" t="s">
        <v>211</v>
      </c>
      <c r="B257" s="1" t="s">
        <v>0</v>
      </c>
      <c r="C257" s="1" t="s">
        <v>46</v>
      </c>
      <c r="D257" s="1" t="s">
        <v>80</v>
      </c>
      <c r="E257" s="1" t="s">
        <v>116</v>
      </c>
      <c r="H257" s="10" t="s">
        <v>220</v>
      </c>
      <c r="I257" s="10"/>
      <c r="J257" s="11">
        <f>_xlfn.STDEV.P(E258:E277)</f>
        <v>110.36484947663364</v>
      </c>
      <c r="K257" s="11"/>
    </row>
    <row r="258" spans="1:11" x14ac:dyDescent="0.3">
      <c r="A258" s="2">
        <v>1</v>
      </c>
      <c r="B258" s="2" t="s">
        <v>1</v>
      </c>
      <c r="C258" s="2" t="s">
        <v>11</v>
      </c>
      <c r="D258" s="2" t="s">
        <v>69</v>
      </c>
      <c r="E258" s="2">
        <v>318</v>
      </c>
      <c r="H258" s="10" t="s">
        <v>221</v>
      </c>
      <c r="I258" s="10"/>
      <c r="J258" s="11">
        <f>_xlfn.STDEV.S(E258:E277)</f>
        <v>113.23194639416266</v>
      </c>
      <c r="K258" s="11"/>
    </row>
    <row r="259" spans="1:11" x14ac:dyDescent="0.3">
      <c r="A259" s="2">
        <v>2</v>
      </c>
      <c r="B259" s="2" t="s">
        <v>2</v>
      </c>
      <c r="C259" s="2" t="s">
        <v>11</v>
      </c>
      <c r="D259" s="2" t="s">
        <v>69</v>
      </c>
      <c r="E259" s="2">
        <v>405</v>
      </c>
    </row>
    <row r="260" spans="1:11" x14ac:dyDescent="0.3">
      <c r="A260" s="2">
        <v>3</v>
      </c>
      <c r="B260" s="2" t="s">
        <v>3</v>
      </c>
      <c r="C260" s="2" t="s">
        <v>11</v>
      </c>
      <c r="D260" s="2" t="s">
        <v>69</v>
      </c>
      <c r="E260" s="2">
        <v>525</v>
      </c>
    </row>
    <row r="261" spans="1:11" x14ac:dyDescent="0.3">
      <c r="A261" s="2">
        <v>4</v>
      </c>
      <c r="B261" s="2" t="s">
        <v>4</v>
      </c>
      <c r="C261" s="2" t="s">
        <v>12</v>
      </c>
      <c r="D261" s="2"/>
      <c r="E261" s="2">
        <v>309</v>
      </c>
    </row>
    <row r="262" spans="1:11" x14ac:dyDescent="0.3">
      <c r="A262" s="2">
        <v>5</v>
      </c>
      <c r="B262" s="2" t="s">
        <v>5</v>
      </c>
      <c r="C262" s="2" t="s">
        <v>12</v>
      </c>
      <c r="D262" s="2"/>
      <c r="E262" s="2">
        <v>405</v>
      </c>
    </row>
    <row r="263" spans="1:11" x14ac:dyDescent="0.3">
      <c r="A263" s="2">
        <v>6</v>
      </c>
      <c r="B263" s="2" t="s">
        <v>6</v>
      </c>
      <c r="C263" s="2" t="s">
        <v>12</v>
      </c>
      <c r="D263" s="2" t="s">
        <v>84</v>
      </c>
      <c r="E263" s="2">
        <v>534</v>
      </c>
    </row>
    <row r="264" spans="1:11" x14ac:dyDescent="0.3">
      <c r="A264" s="2">
        <v>7</v>
      </c>
      <c r="B264" s="2" t="s">
        <v>7</v>
      </c>
      <c r="C264" s="2" t="s">
        <v>13</v>
      </c>
      <c r="D264" s="2"/>
      <c r="E264" s="2">
        <v>314</v>
      </c>
    </row>
    <row r="265" spans="1:11" x14ac:dyDescent="0.3">
      <c r="A265" s="2">
        <v>8</v>
      </c>
      <c r="B265" s="2" t="s">
        <v>8</v>
      </c>
      <c r="C265" s="2" t="s">
        <v>13</v>
      </c>
      <c r="D265" s="2"/>
      <c r="E265" s="2">
        <v>405</v>
      </c>
    </row>
    <row r="266" spans="1:11" x14ac:dyDescent="0.3">
      <c r="A266" s="2">
        <v>9</v>
      </c>
      <c r="B266" s="2" t="s">
        <v>9</v>
      </c>
      <c r="C266" s="2" t="s">
        <v>13</v>
      </c>
      <c r="D266" s="2"/>
      <c r="E266" s="2">
        <v>530</v>
      </c>
    </row>
    <row r="267" spans="1:11" x14ac:dyDescent="0.3">
      <c r="A267" s="2">
        <v>10</v>
      </c>
      <c r="B267" s="2" t="s">
        <v>212</v>
      </c>
      <c r="C267" s="2" t="s">
        <v>65</v>
      </c>
      <c r="D267" s="2"/>
      <c r="E267" s="2">
        <v>195</v>
      </c>
    </row>
    <row r="268" spans="1:11" x14ac:dyDescent="0.3">
      <c r="A268" s="2">
        <v>11</v>
      </c>
      <c r="B268" s="2" t="s">
        <v>213</v>
      </c>
      <c r="C268" s="2" t="s">
        <v>65</v>
      </c>
      <c r="D268" s="2"/>
      <c r="E268" s="2">
        <v>205</v>
      </c>
    </row>
    <row r="269" spans="1:11" x14ac:dyDescent="0.3">
      <c r="A269" s="2">
        <v>12</v>
      </c>
      <c r="B269" s="2" t="s">
        <v>214</v>
      </c>
      <c r="C269" s="2" t="s">
        <v>65</v>
      </c>
      <c r="D269" s="2" t="s">
        <v>84</v>
      </c>
      <c r="E269" s="2">
        <v>395</v>
      </c>
    </row>
    <row r="270" spans="1:11" x14ac:dyDescent="0.3">
      <c r="A270" s="2">
        <v>13</v>
      </c>
      <c r="B270" s="2" t="s">
        <v>215</v>
      </c>
      <c r="C270" s="2" t="s">
        <v>65</v>
      </c>
      <c r="D270" s="2" t="s">
        <v>69</v>
      </c>
      <c r="E270" s="2">
        <v>195</v>
      </c>
    </row>
    <row r="271" spans="1:11" x14ac:dyDescent="0.3">
      <c r="A271" s="2">
        <v>14</v>
      </c>
      <c r="B271" s="2" t="s">
        <v>216</v>
      </c>
      <c r="C271" s="2" t="s">
        <v>65</v>
      </c>
      <c r="D271" s="2" t="s">
        <v>69</v>
      </c>
      <c r="E271" s="2">
        <v>205</v>
      </c>
    </row>
    <row r="272" spans="1:11" x14ac:dyDescent="0.3">
      <c r="A272" s="2">
        <v>15</v>
      </c>
      <c r="B272" s="2" t="s">
        <v>64</v>
      </c>
      <c r="C272" s="2" t="s">
        <v>65</v>
      </c>
      <c r="D272" s="2" t="s">
        <v>69</v>
      </c>
      <c r="E272" s="2">
        <v>395</v>
      </c>
    </row>
    <row r="273" spans="1:9" x14ac:dyDescent="0.3">
      <c r="A273" s="2">
        <v>16</v>
      </c>
      <c r="B273" s="2" t="s">
        <v>217</v>
      </c>
      <c r="C273" s="2" t="s">
        <v>62</v>
      </c>
      <c r="D273" s="2" t="s">
        <v>84</v>
      </c>
      <c r="E273" s="2">
        <v>251</v>
      </c>
    </row>
    <row r="274" spans="1:9" x14ac:dyDescent="0.3">
      <c r="A274" s="2">
        <v>17</v>
      </c>
      <c r="B274" s="2" t="s">
        <v>61</v>
      </c>
      <c r="C274" s="2" t="s">
        <v>62</v>
      </c>
      <c r="D274" s="2" t="s">
        <v>84</v>
      </c>
      <c r="E274" s="2">
        <v>349</v>
      </c>
    </row>
    <row r="275" spans="1:9" x14ac:dyDescent="0.3">
      <c r="A275" s="2">
        <v>18</v>
      </c>
      <c r="B275" s="2" t="s">
        <v>218</v>
      </c>
      <c r="C275" s="2" t="s">
        <v>62</v>
      </c>
      <c r="D275" s="2" t="s">
        <v>84</v>
      </c>
      <c r="E275" s="2">
        <v>479</v>
      </c>
    </row>
    <row r="276" spans="1:9" x14ac:dyDescent="0.3">
      <c r="A276" s="2">
        <v>19</v>
      </c>
      <c r="B276" s="2" t="s">
        <v>63</v>
      </c>
      <c r="C276" s="2" t="s">
        <v>62</v>
      </c>
      <c r="D276" s="2"/>
      <c r="E276" s="2">
        <v>253</v>
      </c>
    </row>
    <row r="277" spans="1:9" x14ac:dyDescent="0.3">
      <c r="A277" s="2">
        <v>20</v>
      </c>
      <c r="B277" s="2" t="s">
        <v>219</v>
      </c>
      <c r="C277" s="2" t="s">
        <v>62</v>
      </c>
      <c r="D277" s="2"/>
      <c r="E277" s="2">
        <v>413</v>
      </c>
    </row>
    <row r="280" spans="1:9" x14ac:dyDescent="0.3">
      <c r="A280" s="8" t="s">
        <v>222</v>
      </c>
      <c r="B280" s="9"/>
      <c r="C280" s="9"/>
      <c r="D280" s="9"/>
      <c r="E280" s="9"/>
      <c r="F280" s="9"/>
      <c r="G280" s="9"/>
      <c r="H280" s="9"/>
      <c r="I280" s="9"/>
    </row>
    <row r="282" spans="1:9" x14ac:dyDescent="0.3">
      <c r="A282" s="1" t="s">
        <v>92</v>
      </c>
      <c r="B282" s="1" t="s">
        <v>46</v>
      </c>
      <c r="C282" s="1" t="s">
        <v>80</v>
      </c>
      <c r="D282" s="1" t="s">
        <v>47</v>
      </c>
    </row>
    <row r="283" spans="1:9" x14ac:dyDescent="0.3">
      <c r="A283" s="2" t="s">
        <v>93</v>
      </c>
      <c r="B283" s="2" t="s">
        <v>49</v>
      </c>
      <c r="C283" s="2"/>
      <c r="D283" s="2">
        <v>305</v>
      </c>
    </row>
    <row r="284" spans="1:9" x14ac:dyDescent="0.3">
      <c r="A284" s="2" t="s">
        <v>97</v>
      </c>
      <c r="B284" s="2" t="s">
        <v>54</v>
      </c>
      <c r="C284" s="2" t="s">
        <v>81</v>
      </c>
      <c r="D284" s="2">
        <v>465</v>
      </c>
    </row>
    <row r="285" spans="1:9" x14ac:dyDescent="0.3">
      <c r="A285" s="2" t="s">
        <v>100</v>
      </c>
      <c r="B285" s="2" t="s">
        <v>58</v>
      </c>
      <c r="C285" s="2" t="s">
        <v>83</v>
      </c>
      <c r="D285" s="2">
        <v>385</v>
      </c>
    </row>
    <row r="286" spans="1:9" x14ac:dyDescent="0.3">
      <c r="A286" s="2" t="s">
        <v>101</v>
      </c>
      <c r="B286" s="2" t="s">
        <v>60</v>
      </c>
      <c r="C286" s="2"/>
      <c r="D286" s="2">
        <v>420</v>
      </c>
    </row>
    <row r="287" spans="1:9" x14ac:dyDescent="0.3">
      <c r="A287" s="2" t="s">
        <v>102</v>
      </c>
      <c r="B287" s="2" t="s">
        <v>62</v>
      </c>
      <c r="C287" s="2" t="s">
        <v>84</v>
      </c>
      <c r="D287" s="2">
        <v>349</v>
      </c>
    </row>
    <row r="288" spans="1:9" x14ac:dyDescent="0.3">
      <c r="A288" s="2" t="s">
        <v>103</v>
      </c>
      <c r="B288" s="2" t="s">
        <v>62</v>
      </c>
      <c r="C288" s="2"/>
      <c r="D288" s="2">
        <v>253</v>
      </c>
    </row>
    <row r="289" spans="1:8" x14ac:dyDescent="0.3">
      <c r="A289" s="2" t="s">
        <v>109</v>
      </c>
      <c r="B289" s="2" t="s">
        <v>12</v>
      </c>
      <c r="C289" s="2"/>
      <c r="D289" s="2">
        <v>405</v>
      </c>
    </row>
    <row r="290" spans="1:8" x14ac:dyDescent="0.3">
      <c r="A290" s="2" t="s">
        <v>111</v>
      </c>
      <c r="B290" s="2" t="s">
        <v>73</v>
      </c>
      <c r="C290" s="2" t="s">
        <v>69</v>
      </c>
      <c r="D290" s="2">
        <v>310</v>
      </c>
    </row>
    <row r="291" spans="1:8" x14ac:dyDescent="0.3">
      <c r="A291" s="2" t="s">
        <v>112</v>
      </c>
      <c r="B291" s="2" t="s">
        <v>13</v>
      </c>
      <c r="C291" s="2"/>
      <c r="D291" s="2">
        <v>300</v>
      </c>
    </row>
    <row r="292" spans="1:8" x14ac:dyDescent="0.3">
      <c r="A292" t="s">
        <v>113</v>
      </c>
      <c r="C292" s="1" t="s">
        <v>223</v>
      </c>
      <c r="D292" s="2">
        <f>SUM(D283:D291)</f>
        <v>3192</v>
      </c>
    </row>
    <row r="295" spans="1:8" x14ac:dyDescent="0.3">
      <c r="A295" s="8" t="s">
        <v>224</v>
      </c>
      <c r="B295" s="9"/>
      <c r="C295" s="9"/>
      <c r="D295" s="9"/>
      <c r="E295" s="9"/>
      <c r="F295" s="9"/>
      <c r="G295" s="9"/>
      <c r="H295" s="9"/>
    </row>
    <row r="297" spans="1:8" x14ac:dyDescent="0.3">
      <c r="A297" s="1" t="s">
        <v>92</v>
      </c>
      <c r="B297" s="1" t="s">
        <v>46</v>
      </c>
      <c r="C297" s="1" t="s">
        <v>116</v>
      </c>
    </row>
    <row r="298" spans="1:8" x14ac:dyDescent="0.3">
      <c r="A298" s="2" t="s">
        <v>131</v>
      </c>
      <c r="B298" s="2" t="s">
        <v>11</v>
      </c>
      <c r="C298" s="2">
        <v>318</v>
      </c>
      <c r="E298" s="1" t="s">
        <v>10</v>
      </c>
      <c r="F298" s="1" t="s">
        <v>225</v>
      </c>
    </row>
    <row r="299" spans="1:8" x14ac:dyDescent="0.3">
      <c r="A299" s="2" t="s">
        <v>132</v>
      </c>
      <c r="B299" s="2" t="s">
        <v>11</v>
      </c>
      <c r="C299" s="2">
        <v>405</v>
      </c>
      <c r="E299" s="1" t="s">
        <v>11</v>
      </c>
      <c r="F299" s="2">
        <f>SUMIF(B298:B306,E299,C298:C306)</f>
        <v>1248</v>
      </c>
    </row>
    <row r="300" spans="1:8" x14ac:dyDescent="0.3">
      <c r="A300" s="2" t="s">
        <v>133</v>
      </c>
      <c r="B300" s="2" t="s">
        <v>11</v>
      </c>
      <c r="C300" s="2">
        <v>525</v>
      </c>
      <c r="E300" s="1" t="s">
        <v>12</v>
      </c>
      <c r="F300" s="2">
        <f>SUMIF(B298:B306,E300,C298:C306)</f>
        <v>1248</v>
      </c>
    </row>
    <row r="301" spans="1:8" x14ac:dyDescent="0.3">
      <c r="A301" s="2" t="s">
        <v>134</v>
      </c>
      <c r="B301" s="2" t="s">
        <v>12</v>
      </c>
      <c r="C301" s="2">
        <v>309</v>
      </c>
      <c r="E301" s="1" t="s">
        <v>13</v>
      </c>
      <c r="F301" s="2">
        <f>SUMIF(B298:B306,E301,C298:C306)</f>
        <v>1249</v>
      </c>
    </row>
    <row r="302" spans="1:8" x14ac:dyDescent="0.3">
      <c r="A302" s="2" t="s">
        <v>109</v>
      </c>
      <c r="B302" s="2" t="s">
        <v>12</v>
      </c>
      <c r="C302" s="2">
        <v>405</v>
      </c>
    </row>
    <row r="303" spans="1:8" x14ac:dyDescent="0.3">
      <c r="A303" s="2" t="s">
        <v>135</v>
      </c>
      <c r="B303" s="2" t="s">
        <v>12</v>
      </c>
      <c r="C303" s="2">
        <v>534</v>
      </c>
    </row>
    <row r="304" spans="1:8" x14ac:dyDescent="0.3">
      <c r="A304" s="2" t="s">
        <v>136</v>
      </c>
      <c r="B304" s="2" t="s">
        <v>13</v>
      </c>
      <c r="C304" s="2">
        <v>314</v>
      </c>
    </row>
    <row r="305" spans="1:3" x14ac:dyDescent="0.3">
      <c r="A305" s="2" t="s">
        <v>137</v>
      </c>
      <c r="B305" s="2" t="s">
        <v>13</v>
      </c>
      <c r="C305" s="2">
        <v>405</v>
      </c>
    </row>
    <row r="306" spans="1:3" x14ac:dyDescent="0.3">
      <c r="A306" s="2" t="s">
        <v>138</v>
      </c>
      <c r="B306" s="2" t="s">
        <v>13</v>
      </c>
      <c r="C306" s="2">
        <v>530</v>
      </c>
    </row>
    <row r="307" spans="1:3" x14ac:dyDescent="0.3">
      <c r="A307" t="s">
        <v>113</v>
      </c>
    </row>
  </sheetData>
  <mergeCells count="117">
    <mergeCell ref="J257:K257"/>
    <mergeCell ref="J258:K258"/>
    <mergeCell ref="A280:I280"/>
    <mergeCell ref="A295:H295"/>
    <mergeCell ref="D251:G251"/>
    <mergeCell ref="D252:G252"/>
    <mergeCell ref="A255:I255"/>
    <mergeCell ref="H257:I257"/>
    <mergeCell ref="H258:I258"/>
    <mergeCell ref="D246:G246"/>
    <mergeCell ref="D247:G247"/>
    <mergeCell ref="D248:G248"/>
    <mergeCell ref="D249:G249"/>
    <mergeCell ref="D250:G250"/>
    <mergeCell ref="A231:H231"/>
    <mergeCell ref="A241:H241"/>
    <mergeCell ref="D243:G243"/>
    <mergeCell ref="D244:G244"/>
    <mergeCell ref="D245:G245"/>
    <mergeCell ref="A185:H185"/>
    <mergeCell ref="A210:H210"/>
    <mergeCell ref="A216:I216"/>
    <mergeCell ref="A227:B227"/>
    <mergeCell ref="A228:B228"/>
    <mergeCell ref="D178:F178"/>
    <mergeCell ref="D179:F179"/>
    <mergeCell ref="D180:F180"/>
    <mergeCell ref="D181:F181"/>
    <mergeCell ref="D182:F182"/>
    <mergeCell ref="D173:F173"/>
    <mergeCell ref="D174:F174"/>
    <mergeCell ref="D175:F175"/>
    <mergeCell ref="D176:F176"/>
    <mergeCell ref="D177:F177"/>
    <mergeCell ref="D168:F168"/>
    <mergeCell ref="D169:F169"/>
    <mergeCell ref="D170:F170"/>
    <mergeCell ref="D171:F171"/>
    <mergeCell ref="D172:F172"/>
    <mergeCell ref="D163:F163"/>
    <mergeCell ref="D164:F164"/>
    <mergeCell ref="D165:F165"/>
    <mergeCell ref="D166:F166"/>
    <mergeCell ref="D167:F167"/>
    <mergeCell ref="F155:G155"/>
    <mergeCell ref="F156:G156"/>
    <mergeCell ref="F157:G157"/>
    <mergeCell ref="A160:I160"/>
    <mergeCell ref="D162:F162"/>
    <mergeCell ref="F150:G150"/>
    <mergeCell ref="F151:G151"/>
    <mergeCell ref="F152:G152"/>
    <mergeCell ref="F153:G153"/>
    <mergeCell ref="F154:G154"/>
    <mergeCell ref="D155:E155"/>
    <mergeCell ref="D156:E156"/>
    <mergeCell ref="D157:E157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D150:E150"/>
    <mergeCell ref="D151:E151"/>
    <mergeCell ref="D152:E152"/>
    <mergeCell ref="D153:E153"/>
    <mergeCell ref="D154:E154"/>
    <mergeCell ref="D145:E145"/>
    <mergeCell ref="D146:E146"/>
    <mergeCell ref="D147:E147"/>
    <mergeCell ref="D148:E148"/>
    <mergeCell ref="D149:E149"/>
    <mergeCell ref="D140:E140"/>
    <mergeCell ref="D141:E141"/>
    <mergeCell ref="D142:E142"/>
    <mergeCell ref="D143:E143"/>
    <mergeCell ref="D144:E144"/>
    <mergeCell ref="D132:E132"/>
    <mergeCell ref="A135:H135"/>
    <mergeCell ref="D137:E137"/>
    <mergeCell ref="D138:E138"/>
    <mergeCell ref="D139:E139"/>
    <mergeCell ref="D127:E127"/>
    <mergeCell ref="D128:E128"/>
    <mergeCell ref="D129:E129"/>
    <mergeCell ref="D130:E130"/>
    <mergeCell ref="D131:E131"/>
    <mergeCell ref="A121:H121"/>
    <mergeCell ref="D123:E123"/>
    <mergeCell ref="D124:E124"/>
    <mergeCell ref="D125:E125"/>
    <mergeCell ref="D126:E126"/>
    <mergeCell ref="E113:H113"/>
    <mergeCell ref="E114:H114"/>
    <mergeCell ref="E115:H115"/>
    <mergeCell ref="E116:H116"/>
    <mergeCell ref="E117:H117"/>
    <mergeCell ref="E108:H108"/>
    <mergeCell ref="E109:H109"/>
    <mergeCell ref="E110:H110"/>
    <mergeCell ref="E111:H111"/>
    <mergeCell ref="E112:H112"/>
    <mergeCell ref="A107:H107"/>
    <mergeCell ref="A82:H82"/>
    <mergeCell ref="A1:G1"/>
    <mergeCell ref="F5:L6"/>
    <mergeCell ref="A28:G28"/>
    <mergeCell ref="F34:S34"/>
    <mergeCell ref="A55:G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89CE-295C-4742-B0E4-AF64498E1248}">
  <dimension ref="A2:N24"/>
  <sheetViews>
    <sheetView tabSelected="1" workbookViewId="0">
      <selection activeCell="K5" sqref="K5"/>
    </sheetView>
  </sheetViews>
  <sheetFormatPr defaultRowHeight="14.4" x14ac:dyDescent="0.3"/>
  <cols>
    <col min="2" max="2" width="11.33203125" customWidth="1"/>
    <col min="8" max="8" width="9.33203125" customWidth="1"/>
  </cols>
  <sheetData>
    <row r="2" spans="1:14" x14ac:dyDescent="0.3">
      <c r="A2" s="8" t="s">
        <v>226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x14ac:dyDescent="0.3">
      <c r="A4" s="1" t="s">
        <v>227</v>
      </c>
      <c r="B4" s="1" t="s">
        <v>0</v>
      </c>
      <c r="C4" s="1" t="s">
        <v>46</v>
      </c>
      <c r="D4" s="1" t="s">
        <v>80</v>
      </c>
      <c r="E4" s="1" t="s">
        <v>116</v>
      </c>
    </row>
    <row r="5" spans="1:14" x14ac:dyDescent="0.3">
      <c r="A5" s="2">
        <v>1</v>
      </c>
      <c r="B5" s="2" t="s">
        <v>1</v>
      </c>
      <c r="C5" s="2" t="s">
        <v>11</v>
      </c>
      <c r="D5" s="2" t="s">
        <v>69</v>
      </c>
      <c r="E5" s="2">
        <v>318</v>
      </c>
      <c r="H5" s="1" t="s">
        <v>228</v>
      </c>
      <c r="I5" s="2">
        <v>10</v>
      </c>
    </row>
    <row r="6" spans="1:14" x14ac:dyDescent="0.3">
      <c r="A6" s="2">
        <v>2</v>
      </c>
      <c r="B6" s="2" t="s">
        <v>2</v>
      </c>
      <c r="C6" s="2" t="s">
        <v>11</v>
      </c>
      <c r="D6" s="2" t="s">
        <v>69</v>
      </c>
      <c r="E6" s="2">
        <v>405</v>
      </c>
      <c r="H6" s="1" t="s">
        <v>0</v>
      </c>
      <c r="I6" s="2" t="str">
        <f>VLOOKUP(I5,A5:E24,2,1)</f>
        <v>Caterpie</v>
      </c>
    </row>
    <row r="7" spans="1:14" x14ac:dyDescent="0.3">
      <c r="A7" s="2">
        <v>3</v>
      </c>
      <c r="B7" s="2" t="s">
        <v>3</v>
      </c>
      <c r="C7" s="2" t="s">
        <v>11</v>
      </c>
      <c r="D7" s="2" t="s">
        <v>69</v>
      </c>
      <c r="E7" s="2">
        <v>525</v>
      </c>
      <c r="H7" s="1" t="s">
        <v>116</v>
      </c>
      <c r="I7" s="2">
        <f>VLOOKUP(I5,A6:E25,5,1)</f>
        <v>195</v>
      </c>
    </row>
    <row r="8" spans="1:14" x14ac:dyDescent="0.3">
      <c r="A8" s="2">
        <v>4</v>
      </c>
      <c r="B8" s="2" t="s">
        <v>4</v>
      </c>
      <c r="C8" s="2" t="s">
        <v>12</v>
      </c>
      <c r="D8" s="2"/>
      <c r="E8" s="2">
        <v>309</v>
      </c>
    </row>
    <row r="9" spans="1:14" x14ac:dyDescent="0.3">
      <c r="A9" s="2">
        <v>5</v>
      </c>
      <c r="B9" s="2" t="s">
        <v>5</v>
      </c>
      <c r="C9" s="2" t="s">
        <v>12</v>
      </c>
      <c r="D9" s="2"/>
      <c r="E9" s="2">
        <v>405</v>
      </c>
    </row>
    <row r="10" spans="1:14" x14ac:dyDescent="0.3">
      <c r="A10" s="2">
        <v>6</v>
      </c>
      <c r="B10" s="2" t="s">
        <v>6</v>
      </c>
      <c r="C10" s="2" t="s">
        <v>12</v>
      </c>
      <c r="D10" s="2" t="s">
        <v>84</v>
      </c>
      <c r="E10" s="2">
        <v>534</v>
      </c>
    </row>
    <row r="11" spans="1:14" x14ac:dyDescent="0.3">
      <c r="A11" s="2">
        <v>7</v>
      </c>
      <c r="B11" s="2" t="s">
        <v>7</v>
      </c>
      <c r="C11" s="2" t="s">
        <v>13</v>
      </c>
      <c r="D11" s="2"/>
      <c r="E11" s="2">
        <v>314</v>
      </c>
    </row>
    <row r="12" spans="1:14" x14ac:dyDescent="0.3">
      <c r="A12" s="2">
        <v>8</v>
      </c>
      <c r="B12" s="2" t="s">
        <v>8</v>
      </c>
      <c r="C12" s="2" t="s">
        <v>13</v>
      </c>
      <c r="D12" s="2"/>
      <c r="E12" s="2">
        <v>405</v>
      </c>
    </row>
    <row r="13" spans="1:14" x14ac:dyDescent="0.3">
      <c r="A13" s="2">
        <v>9</v>
      </c>
      <c r="B13" s="2" t="s">
        <v>9</v>
      </c>
      <c r="C13" s="2" t="s">
        <v>13</v>
      </c>
      <c r="D13" s="2"/>
      <c r="E13" s="2">
        <v>530</v>
      </c>
    </row>
    <row r="14" spans="1:14" x14ac:dyDescent="0.3">
      <c r="A14" s="2">
        <v>10</v>
      </c>
      <c r="B14" s="2" t="s">
        <v>212</v>
      </c>
      <c r="C14" s="2" t="s">
        <v>65</v>
      </c>
      <c r="D14" s="2"/>
      <c r="E14" s="2">
        <v>195</v>
      </c>
    </row>
    <row r="15" spans="1:14" x14ac:dyDescent="0.3">
      <c r="A15" s="2">
        <v>11</v>
      </c>
      <c r="B15" s="2" t="s">
        <v>213</v>
      </c>
      <c r="C15" s="2" t="s">
        <v>65</v>
      </c>
      <c r="D15" s="2"/>
      <c r="E15" s="2">
        <v>205</v>
      </c>
    </row>
    <row r="16" spans="1:14" x14ac:dyDescent="0.3">
      <c r="A16" s="2">
        <v>12</v>
      </c>
      <c r="B16" s="2" t="s">
        <v>214</v>
      </c>
      <c r="C16" s="2" t="s">
        <v>65</v>
      </c>
      <c r="D16" s="2" t="s">
        <v>84</v>
      </c>
      <c r="E16" s="2">
        <v>395</v>
      </c>
    </row>
    <row r="17" spans="1:5" x14ac:dyDescent="0.3">
      <c r="A17" s="2">
        <v>13</v>
      </c>
      <c r="B17" s="2" t="s">
        <v>215</v>
      </c>
      <c r="C17" s="2" t="s">
        <v>65</v>
      </c>
      <c r="D17" s="2" t="s">
        <v>69</v>
      </c>
      <c r="E17" s="2">
        <v>195</v>
      </c>
    </row>
    <row r="18" spans="1:5" x14ac:dyDescent="0.3">
      <c r="A18" s="2">
        <v>14</v>
      </c>
      <c r="B18" s="2" t="s">
        <v>216</v>
      </c>
      <c r="C18" s="2" t="s">
        <v>65</v>
      </c>
      <c r="D18" s="2" t="s">
        <v>69</v>
      </c>
      <c r="E18" s="2">
        <v>205</v>
      </c>
    </row>
    <row r="19" spans="1:5" x14ac:dyDescent="0.3">
      <c r="A19" s="2">
        <v>15</v>
      </c>
      <c r="B19" s="2" t="s">
        <v>64</v>
      </c>
      <c r="C19" s="2" t="s">
        <v>65</v>
      </c>
      <c r="D19" s="2" t="s">
        <v>69</v>
      </c>
      <c r="E19" s="2">
        <v>395</v>
      </c>
    </row>
    <row r="20" spans="1:5" x14ac:dyDescent="0.3">
      <c r="A20" s="2">
        <v>16</v>
      </c>
      <c r="B20" s="2" t="s">
        <v>217</v>
      </c>
      <c r="C20" s="2" t="s">
        <v>62</v>
      </c>
      <c r="D20" s="2" t="s">
        <v>84</v>
      </c>
      <c r="E20" s="2">
        <v>251</v>
      </c>
    </row>
    <row r="21" spans="1:5" x14ac:dyDescent="0.3">
      <c r="A21" s="2">
        <v>17</v>
      </c>
      <c r="B21" s="2" t="s">
        <v>61</v>
      </c>
      <c r="C21" s="2" t="s">
        <v>62</v>
      </c>
      <c r="D21" s="2" t="s">
        <v>84</v>
      </c>
      <c r="E21" s="2">
        <v>349</v>
      </c>
    </row>
    <row r="22" spans="1:5" x14ac:dyDescent="0.3">
      <c r="A22" s="2">
        <v>18</v>
      </c>
      <c r="B22" s="2" t="s">
        <v>61</v>
      </c>
      <c r="C22" s="2" t="s">
        <v>62</v>
      </c>
      <c r="D22" s="2" t="s">
        <v>84</v>
      </c>
      <c r="E22" s="2">
        <v>479</v>
      </c>
    </row>
    <row r="23" spans="1:5" x14ac:dyDescent="0.3">
      <c r="A23" s="2">
        <v>19</v>
      </c>
      <c r="B23" s="2" t="s">
        <v>63</v>
      </c>
      <c r="C23" s="2" t="s">
        <v>62</v>
      </c>
      <c r="D23" s="2"/>
      <c r="E23" s="2">
        <v>253</v>
      </c>
    </row>
    <row r="24" spans="1:5" x14ac:dyDescent="0.3">
      <c r="A24" s="2">
        <v>20</v>
      </c>
      <c r="B24" s="2" t="s">
        <v>219</v>
      </c>
      <c r="C24" s="2" t="s">
        <v>62</v>
      </c>
      <c r="D24" s="2"/>
      <c r="E24" s="2">
        <v>413</v>
      </c>
    </row>
  </sheetData>
  <mergeCells count="1"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AND function</vt:lpstr>
      <vt:lpstr>Average function</vt:lpstr>
      <vt:lpstr>CONCAT function</vt:lpstr>
      <vt:lpstr>FUNCTIONS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Eripilli</dc:creator>
  <cp:lastModifiedBy>Surendra Eripilli</cp:lastModifiedBy>
  <dcterms:created xsi:type="dcterms:W3CDTF">2026-08-06T06:15:55Z</dcterms:created>
  <dcterms:modified xsi:type="dcterms:W3CDTF">2026-08-18T05:50:20Z</dcterms:modified>
</cp:coreProperties>
</file>